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3761ffd2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ab6187cad554ee9"/>
    <x:sheet xmlns:r="http://schemas.openxmlformats.org/officeDocument/2006/relationships" name="01_TYPES" sheetId="2" r:id="Rd902ea16d6d0449c"/>
    <x:sheet xmlns:r="http://schemas.openxmlformats.org/officeDocument/2006/relationships" name="02_OBJECTS" sheetId="3" r:id="R592f4ced25f9497a"/>
    <x:sheet xmlns:r="http://schemas.openxmlformats.org/officeDocument/2006/relationships" name="03_PARAMETERS" sheetId="4" r:id="R1fd59629ffb84561"/>
    <x:sheet xmlns:r="http://schemas.openxmlformats.org/officeDocument/2006/relationships" name="04_FUNCTIONS" sheetId="5" r:id="Rfe35536037af4011"/>
    <x:sheet xmlns:r="http://schemas.openxmlformats.org/officeDocument/2006/relationships" name="05_TRANSITIONS" sheetId="6" r:id="Ra6100facf07f4ff0"/>
    <x:sheet xmlns:r="http://schemas.openxmlformats.org/officeDocument/2006/relationships" name="06_QA" sheetId="7" r:id="R16613e20f0ff483b"/>
    <x:sheet xmlns:r="http://schemas.openxmlformats.org/officeDocument/2006/relationships" name="07_AMBIGUITIES" sheetId="8" r:id="R5775404f90b74597"/>
    <x:sheet xmlns:r="http://schemas.openxmlformats.org/officeDocument/2006/relationships" name="08_INTENT" sheetId="9" r:id="Rf0b08221093e4bfa"/>
    <x:sheet xmlns:r="http://schemas.openxmlformats.org/officeDocument/2006/relationships" name="09_TRACE" sheetId="10" r:id="R80e09491b6464498"/>
    <x:sheet xmlns:r="http://schemas.openxmlformats.org/officeDocument/2006/relationships" name="F001_CaptureIntent" sheetId="11" r:id="R4b4fbcdd59e14534"/>
    <x:sheet xmlns:r="http://schemas.openxmlformats.org/officeDocument/2006/relationships" name="F002_NormalizeIntent" sheetId="12" r:id="R218685a8afe74523"/>
    <x:sheet xmlns:r="http://schemas.openxmlformats.org/officeDocument/2006/relationships" name="F003_DeclareObjects" sheetId="13" r:id="Ra2dab910d40048b5"/>
    <x:sheet xmlns:r="http://schemas.openxmlformats.org/officeDocument/2006/relationships" name="F004_BindFunctionIO" sheetId="14" r:id="Rf34aa8f03ae84a5a"/>
    <x:sheet xmlns:r="http://schemas.openxmlformats.org/officeDocument/2006/relationships" name="F005_DeclareTransitions" sheetId="15" r:id="R25bd06a23a9d4aaf"/>
    <x:sheet xmlns:r="http://schemas.openxmlformats.org/officeDocument/2006/relationships" name="F006_GenerateQA" sheetId="16" r:id="Rdd83b62e33f04ae7"/>
    <x:sheet xmlns:r="http://schemas.openxmlformats.org/officeDocument/2006/relationships" name="F007_ValidateTranslation" sheetId="17" r:id="Rcd5e55ce89584a0a"/>
    <x:sheet xmlns:r="http://schemas.openxmlformats.org/officeDocument/2006/relationships" name="F008_HumanCommit" sheetId="18" r:id="Ref0c99c01ebd4718"/>
    <x:sheet xmlns:r="http://schemas.openxmlformats.org/officeDocument/2006/relationships" name="F009_EmitSpec" sheetId="19" r:id="R4835c9380e3d4bd4"/>
    <x:sheet xmlns:r="http://schemas.openxmlformats.org/officeDocument/2006/relationships" name="F010_VerifyImpl" sheetId="20" r:id="R82847bb09986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a23a2c4b94bc6" /><Relationship Type="http://schemas.openxmlformats.org/officeDocument/2006/relationships/theme" Target="/xl/theme/theme1.xml" Id="R3b99b9740a924ea0" /><Relationship Type="http://schemas.openxmlformats.org/officeDocument/2006/relationships/sharedStrings" Target="/xl/sharedStrings.xml" Id="Rfe8f6af160564024" /><Relationship Type="http://schemas.openxmlformats.org/officeDocument/2006/relationships/worksheet" Target="/xl/worksheets/sheet1.xml" Id="R4ab6187cad554ee9" /><Relationship Type="http://schemas.openxmlformats.org/officeDocument/2006/relationships/worksheet" Target="/xl/worksheets/sheet2.xml" Id="Rd902ea16d6d0449c" /><Relationship Type="http://schemas.openxmlformats.org/officeDocument/2006/relationships/worksheet" Target="/xl/worksheets/sheet3.xml" Id="R592f4ced25f9497a" /><Relationship Type="http://schemas.openxmlformats.org/officeDocument/2006/relationships/worksheet" Target="/xl/worksheets/sheet4.xml" Id="R1fd59629ffb84561" /><Relationship Type="http://schemas.openxmlformats.org/officeDocument/2006/relationships/worksheet" Target="/xl/worksheets/sheet5.xml" Id="Rfe35536037af4011" /><Relationship Type="http://schemas.openxmlformats.org/officeDocument/2006/relationships/worksheet" Target="/xl/worksheets/sheet6.xml" Id="Ra6100facf07f4ff0" /><Relationship Type="http://schemas.openxmlformats.org/officeDocument/2006/relationships/worksheet" Target="/xl/worksheets/sheet7.xml" Id="R16613e20f0ff483b" /><Relationship Type="http://schemas.openxmlformats.org/officeDocument/2006/relationships/worksheet" Target="/xl/worksheets/sheet8.xml" Id="R5775404f90b74597" /><Relationship Type="http://schemas.openxmlformats.org/officeDocument/2006/relationships/worksheet" Target="/xl/worksheets/sheet9.xml" Id="Rf0b08221093e4bfa" /><Relationship Type="http://schemas.openxmlformats.org/officeDocument/2006/relationships/worksheet" Target="/xl/worksheets/sheet10.xml" Id="R80e09491b6464498" /><Relationship Type="http://schemas.openxmlformats.org/officeDocument/2006/relationships/worksheet" Target="/xl/worksheets/sheet11.xml" Id="R4b4fbcdd59e14534" /><Relationship Type="http://schemas.openxmlformats.org/officeDocument/2006/relationships/worksheet" Target="/xl/worksheets/sheet12.xml" Id="R218685a8afe74523" /><Relationship Type="http://schemas.openxmlformats.org/officeDocument/2006/relationships/worksheet" Target="/xl/worksheets/sheet13.xml" Id="Ra2dab910d40048b5" /><Relationship Type="http://schemas.openxmlformats.org/officeDocument/2006/relationships/worksheet" Target="/xl/worksheets/sheet14.xml" Id="Rf34aa8f03ae84a5a" /><Relationship Type="http://schemas.openxmlformats.org/officeDocument/2006/relationships/worksheet" Target="/xl/worksheets/sheet15.xml" Id="R25bd06a23a9d4aaf" /><Relationship Type="http://schemas.openxmlformats.org/officeDocument/2006/relationships/worksheet" Target="/xl/worksheets/sheet16.xml" Id="Rdd83b62e33f04ae7" /><Relationship Type="http://schemas.openxmlformats.org/officeDocument/2006/relationships/worksheet" Target="/xl/worksheets/sheet17.xml" Id="Rcd5e55ce89584a0a" /><Relationship Type="http://schemas.openxmlformats.org/officeDocument/2006/relationships/worksheet" Target="/xl/worksheets/sheet18.xml" Id="Ref0c99c01ebd4718" /><Relationship Type="http://schemas.openxmlformats.org/officeDocument/2006/relationships/worksheet" Target="/xl/worksheets/sheet19.xml" Id="R4835c9380e3d4bd4" /><Relationship Type="http://schemas.openxmlformats.org/officeDocument/2006/relationships/worksheet" Target="/xl/worksheets/sheet20.xml" Id="R82847bb09986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6" customHeight="1">
      <x:c r="A1" s="5" t="str">
        <x:v>AITEgpt v0r0b1 — Controlling Pre-Implementation Specification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Project</x:v>
      </x:c>
      <x:c r="B4" s="28" t="str">
        <x:v>AITEgpt</x:v>
      </x:c>
    </x:row>
    <x:row r="5">
      <x:c r="A5" s="27" t="str">
        <x:v>Version</x:v>
      </x:c>
      <x:c r="B5" s="28" t="str">
        <x:v>v0r0b1</x:v>
      </x:c>
    </x:row>
    <x:row r="6">
      <x:c r="A6" s="27" t="str">
        <x:v>Artifact role</x:v>
      </x:c>
      <x:c r="B6" s="28" t="str">
        <x:v>FORMAL PSEUDOCODE / INTERMEDIATE REPRESENTATION</x:v>
      </x:c>
    </x:row>
    <x:row r="7">
      <x:c r="A7" s="27" t="str">
        <x:v>Authority</x:v>
      </x:c>
      <x:c r="B7" s="28" t="str">
        <x:v>This workbook controls translation semantics before implementation.</x:v>
      </x:c>
    </x:row>
    <x:row r="8">
      <x:c r="A8" s="27" t="str">
        <x:v>Source working note</x:v>
      </x:c>
      <x:c r="B8" s="28" t="str">
        <x:v>https://github.com/gray3s/AITE/blob/main/AITE_AI_TRANSLATION_ERROR_WORKING_NOTE_20260913_143510_MDT.md</x:v>
      </x:c>
    </x:row>
    <x:row r="9">
      <x:c r="A9" s="27" t="str">
        <x:v>Core rule</x:v>
      </x:c>
      <x:c r="B9" s="28" t="str">
        <x:v>Human prose may initiate work but cannot directly authorize implementation.</x:v>
      </x:c>
    </x:row>
    <x:row r="11">
      <x:c r="A11" s="35" t="str">
        <x:v>Implementation Gate</x:v>
      </x:c>
      <x:c r="B11" s="35"/>
      <x:c r="C11" s="35"/>
      <x:c r="D11" s="35"/>
      <x:c r="E11" s="35"/>
      <x:c r="F11" s="35"/>
      <x:c r="G11" s="35"/>
      <x:c r="H11" s="35"/>
    </x:row>
    <x:row r="12">
      <x:c r="A12" s="26" t="str">
        <x:v>Metric</x:v>
      </x:c>
      <x:c r="B12" s="26" t="str">
        <x:v>Value</x:v>
      </x:c>
    </x:row>
    <x:row r="13">
      <x:c r="A13" s="28" t="str">
        <x:v>Open ambiguities</x:v>
      </x:c>
      <x:c r="B13" s="28" t="n">
        <x:f>COUNTIF('07_AMBIGUITIES'!G4:G500,"OPEN")</x:f>
        <x:v>0</x:v>
      </x:c>
    </x:row>
    <x:row r="14">
      <x:c r="A14" s="28" t="str">
        <x:v>Unapproved intents</x:v>
      </x:c>
      <x:c r="B14" s="28" t="n">
        <x:f>COUNTIFS('08_INTENT'!A4:A500,"&lt;&gt;" ,'08_INTENT'!J4:J500,"&lt;&gt;YES")</x:f>
        <x:v>8</x:v>
      </x:c>
    </x:row>
    <x:row r="15">
      <x:c r="A15" s="28" t="str">
        <x:v>Blocking QA not human-approved</x:v>
      </x:c>
      <x:c r="B15" s="28" t="n">
        <x:f>COUNTIFS('06_QA'!A4:A1000,"&lt;&gt;" ,'06_QA'!K4:K1000,"&lt;&gt;YES",'06_QA'!L4:L1000,"YES")</x:f>
        <x:v>10</x:v>
      </x:c>
    </x:row>
    <x:row r="16">
      <x:c r="A16" s="28" t="str">
        <x:v>Functions not human-approved</x:v>
      </x:c>
      <x:c r="B16" s="28" t="n">
        <x:f>COUNTIFS('04_FUNCTIONS'!A4:A500,"&lt;&gt;" ,'04_FUNCTIONS'!L4:L500,"&lt;&gt;YES")</x:f>
        <x:v>10</x:v>
      </x:c>
    </x:row>
    <x:row r="17">
      <x:c r="A17" s="28" t="str">
        <x:v>Functions with QA failure</x:v>
      </x:c>
      <x:c r="B17" s="28" t="n">
        <x:f>COUNTIFS('04_FUNCTIONS'!A4:A500,"&lt;&gt;" ,'04_FUNCTIONS'!N4:N500,"FAIL")</x:f>
        <x:v>0</x:v>
      </x:c>
    </x:row>
    <x:row r="18">
      <x:c r="A18" s="28" t="str">
        <x:v>IMPLEMENTATION_GATE</x:v>
      </x:c>
      <x:c r="B18" s="28" t="str">
        <x:f>IF(AND(B13=0,B14=0,B15=0,B16=0,B17=0),"OPEN","BLOCKED")</x:f>
        <x:v>BLOCKED</x:v>
      </x:c>
    </x:row>
    <x:row r="20">
      <x:c r="A20" s="35" t="str">
        <x:v>Non-Negotiable Semantics</x:v>
      </x:c>
      <x:c r="B20" s="35"/>
      <x:c r="C20" s="35"/>
      <x:c r="D20" s="35"/>
      <x:c r="E20" s="35"/>
      <x:c r="F20" s="35"/>
      <x:c r="G20" s="35"/>
      <x:c r="H20" s="35"/>
    </x:row>
    <x:row r="21">
      <x:c r="A21" s="26" t="str">
        <x:v>Rule_ID</x:v>
      </x:c>
      <x:c r="B21" s="26" t="str">
        <x:v>Rule</x:v>
      </x:c>
    </x:row>
    <x:row r="22">
      <x:c r="A22" s="28" t="str">
        <x:v>R001</x:v>
      </x:c>
      <x:c r="B22" s="28" t="str">
        <x:v>Prose establishes topic/intention; prose is not executable authority.</x:v>
      </x:c>
    </x:row>
    <x:row r="23">
      <x:c r="A23" s="28" t="str">
        <x:v>R002</x:v>
      </x:c>
      <x:c r="B23" s="28" t="str">
        <x:v>Every function input/output binds to a Param_ID and Object_ID.</x:v>
      </x:c>
    </x:row>
    <x:row r="24">
      <x:c r="A24" s="28" t="str">
        <x:v>R003</x:v>
      </x:c>
      <x:c r="B24" s="28" t="str">
        <x:v>Every Object_ID declares workbook, worksheet, anchor, rank, shape, data type, scope, mutability and lifecycle.</x:v>
      </x:c>
    </x:row>
    <x:row r="25">
      <x:c r="A25" s="28" t="str">
        <x:v>R004</x:v>
      </x:c>
      <x:c r="B25" s="28" t="str">
        <x:v>Unresolved ambiguity blocks implementation.</x:v>
      </x:c>
    </x:row>
    <x:row r="26">
      <x:c r="A26" s="28" t="str">
        <x:v>R005</x:v>
      </x:c>
      <x:c r="B26" s="28" t="str">
        <x:v>Human approval applies to the code-shaped translation before implementation.</x:v>
      </x:c>
    </x:row>
    <x:row r="27">
      <x:c r="A27" s="28" t="str">
        <x:v>R006</x:v>
      </x:c>
      <x:c r="B27" s="28" t="str">
        <x:v>Implementation is checked against tests, traces and transition records.</x:v>
      </x:c>
    </x:row>
    <x:row r="28">
      <x:c r="A28" s="28" t="str">
        <x:v>R007</x:v>
      </x:c>
      <x:c r="B28" s="28" t="str">
        <x:v>Inherited/generated source code is implementation evidence, not original-intent provenance unless traced.</x:v>
      </x:c>
    </x:row>
    <x:row r="29">
      <x:c r="A29" s="28" t="str">
        <x:v>R008</x:v>
      </x:c>
      <x:c r="B29" s="28" t="str">
        <x:v>An object/model-level lifecycle event cannot be silently promoted to stage/project scope.</x:v>
      </x:c>
    </x:row>
    <x:row r="30">
      <x:c r="A30" s="28" t="str">
        <x:v>R009</x:v>
      </x:c>
      <x:c r="B30" s="28" t="str">
        <x:v>Compiled/running software is not proof that prose intent was translated correctly.</x:v>
      </x:c>
    </x:row>
  </x:sheetData>
  <x:mergeCells>
    <x:mergeCell ref="A1:H1"/>
    <x:mergeCell ref="A11:H11"/>
    <x:mergeCell ref="A20:H20"/>
  </x:mergeCells>
  <x:conditionalFormatting sqref="B18:B18">
    <x:cfRule type="expression" dxfId="0" priority="1">
      <x:formula>B18="BLOCKED"</x:formula>
    </x:cfRule>
    <x:cfRule type="expression" dxfId="1" priority="2">
      <x:formula>B18="OPEN"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3" max="3" width="30" hidden="0" customWidth="1"/>
    <x:col min="4" max="4" width="12" hidden="0" customWidth="1"/>
    <x:col min="5" max="5" width="48" hidden="0" customWidth="1"/>
  </x:cols>
  <x:sheetData>
    <x:row r="1" ht="26" customHeight="1">
      <x:c r="A1" s="5" t="str">
        <x:v>AITEgpt Type System and Reference Encoding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5" t="str">
        <x:v>Canonical Object Classes</x:v>
      </x:c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A4" s="26" t="str">
        <x:v>Class</x:v>
      </x:c>
      <x:c r="B4" s="26" t="str">
        <x:v>Meaning</x:v>
      </x:c>
      <x:c r="C4" s="26" t="str">
        <x:v>Spreadsheet Representation</x:v>
      </x:c>
      <x:c r="D4" s="26" t="str">
        <x:v>Rank</x:v>
      </x:c>
      <x:c r="E4" s="26" t="str">
        <x:v>Notes</x:v>
      </x:c>
    </x:row>
    <x:row r="5">
      <x:c r="A5" s="28" t="str">
        <x:v>scalar</x:v>
      </x:c>
      <x:c r="B5" s="28" t="str">
        <x:v>Single atomic value</x:v>
      </x:c>
      <x:c r="C5" s="28" t="str">
        <x:v>1 cell</x:v>
      </x:c>
      <x:c r="D5" s="28" t="n">
        <x:v>0</x:v>
      </x:c>
      <x:c r="E5" s="28" t="str">
        <x:v>Numeric, boolean, enum, date, etc.</x:v>
      </x:c>
    </x:row>
    <x:row r="6">
      <x:c r="A6" s="28" t="str">
        <x:v>text</x:v>
      </x:c>
      <x:c r="B6" s="28" t="str">
        <x:v>Human-readable text</x:v>
      </x:c>
      <x:c r="C6" s="28" t="str">
        <x:v>1 cell</x:v>
      </x:c>
      <x:c r="D6" s="28" t="n">
        <x:v>0</x:v>
      </x:c>
      <x:c r="E6" s="28" t="str">
        <x:v>Never executable authority by itself.</x:v>
      </x:c>
    </x:row>
    <x:row r="7">
      <x:c r="A7" s="28" t="str">
        <x:v>vector</x:v>
      </x:c>
      <x:c r="B7" s="28" t="str">
        <x:v>1D ordered data</x:v>
      </x:c>
      <x:c r="C7" s="28" t="str">
        <x:v>1 row or 1 column range</x:v>
      </x:c>
      <x:c r="D7" s="28" t="n">
        <x:v>1</x:v>
      </x:c>
      <x:c r="E7" s="28" t="str">
        <x:v>Orientation is explicit.</x:v>
      </x:c>
    </x:row>
    <x:row r="8">
      <x:c r="A8" s="28" t="str">
        <x:v>matrix</x:v>
      </x:c>
      <x:c r="B8" s="28" t="str">
        <x:v>2D rectangular data</x:v>
      </x:c>
      <x:c r="C8" s="28" t="str">
        <x:v>cell range</x:v>
      </x:c>
      <x:c r="D8" s="28" t="n">
        <x:v>2</x:v>
      </x:c>
      <x:c r="E8" s="28" t="str">
        <x:v>Preferred native array representation.</x:v>
      </x:c>
    </x:row>
    <x:row r="9">
      <x:c r="A9" s="28" t="str">
        <x:v>tensor3</x:v>
      </x:c>
      <x:c r="B9" s="28" t="str">
        <x:v>3D data</x:v>
      </x:c>
      <x:c r="C9" s="28" t="str">
        <x:v>indexed collection of 2D slice ranges</x:v>
      </x:c>
      <x:c r="D9" s="28" t="n">
        <x:v>3</x:v>
      </x:c>
      <x:c r="E9" s="28" t="str">
        <x:v>Portable across Excel/OpenOffice; no opaque cell cluster required.</x:v>
      </x:c>
    </x:row>
    <x:row r="10">
      <x:c r="A10" s="28" t="str">
        <x:v>record</x:v>
      </x:c>
      <x:c r="B10" s="28" t="str">
        <x:v>Named fields</x:v>
      </x:c>
      <x:c r="C10" s="28" t="str">
        <x:v>registry row or field/value block</x:v>
      </x:c>
      <x:c r="D10" s="28" t="n">
        <x:v>1</x:v>
      </x:c>
      <x:c r="E10" s="28" t="str">
        <x:v>Schema is explicit.</x:v>
      </x:c>
    </x:row>
    <x:row r="11">
      <x:c r="A11" s="28" t="str">
        <x:v>table</x:v>
      </x:c>
      <x:c r="B11" s="28" t="str">
        <x:v>Repeated records</x:v>
      </x:c>
      <x:c r="C11" s="28" t="str">
        <x:v>rectangular table</x:v>
      </x:c>
      <x:c r="D11" s="28" t="n">
        <x:v>2</x:v>
      </x:c>
      <x:c r="E11" s="28" t="str">
        <x:v>Header defines fields.</x:v>
      </x:c>
    </x:row>
    <x:row r="12">
      <x:c r="A12" s="28" t="str">
        <x:v>function</x:v>
      </x:c>
      <x:c r="B12" s="28" t="str">
        <x:v>Executable/pseudocode operation</x:v>
      </x:c>
      <x:c r="C12" s="28" t="str">
        <x:v>function worksheet</x:v>
      </x:c>
      <x:c r="D12" s="28"/>
      <x:c r="E12" s="28" t="str">
        <x:v>I/O binds through Param_ID rows.</x:v>
      </x:c>
    </x:row>
    <x:row r="13">
      <x:c r="A13" s="28" t="str">
        <x:v>state</x:v>
      </x:c>
      <x:c r="B13" s="28" t="str">
        <x:v>Named lifecycle state</x:v>
      </x:c>
      <x:c r="C13" s="28" t="str">
        <x:v>scalar/enum</x:v>
      </x:c>
      <x:c r="D13" s="28" t="n">
        <x:v>0</x:v>
      </x:c>
      <x:c r="E13" s="28" t="str">
        <x:v>Used by transitions.</x:v>
      </x:c>
    </x:row>
    <x:row r="14">
      <x:c r="A14" s="28" t="str">
        <x:v>transition</x:v>
      </x:c>
      <x:c r="B14" s="28" t="str">
        <x:v>State change rule</x:v>
      </x:c>
      <x:c r="C14" s="28" t="str">
        <x:v>transition table row</x:v>
      </x:c>
      <x:c r="D14" s="28" t="n">
        <x:v>1</x:v>
      </x:c>
      <x:c r="E14" s="28" t="str">
        <x:v>Scope and authority are mandatory.</x:v>
      </x:c>
    </x:row>
    <x:row r="17">
      <x:c r="A17" s="35" t="str">
        <x:v>Primitive / Logical Data Types</x:v>
      </x:c>
      <x:c r="B17" s="35"/>
      <x:c r="C17" s="35"/>
      <x:c r="D17" s="35"/>
      <x:c r="E17" s="35"/>
      <x:c r="F17" s="35"/>
      <x:c r="G17" s="35"/>
      <x:c r="H17" s="35"/>
      <x:c r="I17" s="35"/>
      <x:c r="J17" s="35"/>
    </x:row>
    <x:row r="18">
      <x:c r="A18" s="26" t="str">
        <x:v>DType</x:v>
      </x:c>
      <x:c r="B18" s="26" t="str">
        <x:v>Meaning</x:v>
      </x:c>
      <x:c r="C18" s="26" t="str">
        <x:v>Example</x:v>
      </x:c>
    </x:row>
    <x:row r="19">
      <x:c r="A19" s="28" t="str">
        <x:v>bool</x:v>
      </x:c>
      <x:c r="B19" s="28" t="str">
        <x:v>Boolean</x:v>
      </x:c>
      <x:c r="C19" s="28" t="str">
        <x:v>TRUE</x:v>
      </x:c>
    </x:row>
    <x:row r="20">
      <x:c r="A20" s="28" t="str">
        <x:v>int64</x:v>
      </x:c>
      <x:c r="B20" s="28" t="str">
        <x:v>Signed integer</x:v>
      </x:c>
      <x:c r="C20" s="28" t="str">
        <x:v>42</x:v>
      </x:c>
    </x:row>
    <x:row r="21">
      <x:c r="A21" s="28" t="str">
        <x:v>float64</x:v>
      </x:c>
      <x:c r="B21" s="28" t="str">
        <x:v>Double precision</x:v>
      </x:c>
      <x:c r="C21" s="28" t="str">
        <x:v>3.14159</x:v>
      </x:c>
    </x:row>
    <x:row r="22">
      <x:c r="A22" s="28" t="str">
        <x:v>text</x:v>
      </x:c>
      <x:c r="B22" s="28" t="str">
        <x:v>UTF-8 text</x:v>
      </x:c>
      <x:c r="C22" s="28" t="str">
        <x:v>ABORT selected model test</x:v>
      </x:c>
    </x:row>
    <x:row r="23">
      <x:c r="A23" s="28" t="str">
        <x:v>enum</x:v>
      </x:c>
      <x:c r="B23" s="28" t="str">
        <x:v>Constrained symbolic value</x:v>
      </x:c>
      <x:c r="C23" s="28" t="str">
        <x:v>OPEN | BLOCKED | PASS | FAIL</x:v>
      </x:c>
    </x:row>
    <x:row r="24">
      <x:c r="A24" s="28" t="str">
        <x:v>datetime</x:v>
      </x:c>
      <x:c r="B24" s="28" t="str">
        <x:v>Timestamp</x:v>
      </x:c>
      <x:c r="C24" s="28" t="n">
        <x:v>46278.97708333333</x:v>
      </x:c>
    </x:row>
    <x:row r="25">
      <x:c r="A25" s="28" t="str">
        <x:v>object_id</x:v>
      </x:c>
      <x:c r="B25" s="28" t="str">
        <x:v>Object registry reference</x:v>
      </x:c>
      <x:c r="C25" s="28" t="str">
        <x:v>OBJ0007</x:v>
      </x:c>
    </x:row>
    <x:row r="26">
      <x:c r="A26" s="28" t="str">
        <x:v>param_id</x:v>
      </x:c>
      <x:c r="B26" s="28" t="str">
        <x:v>Parameter registry reference</x:v>
      </x:c>
      <x:c r="C26" s="28" t="str">
        <x:v>PAR0012</x:v>
      </x:c>
    </x:row>
    <x:row r="27">
      <x:c r="A27" s="28" t="str">
        <x:v>function_id</x:v>
      </x:c>
      <x:c r="B27" s="28" t="str">
        <x:v>Function registry reference</x:v>
      </x:c>
      <x:c r="C27" s="28" t="str">
        <x:v>F006</x:v>
      </x:c>
    </x:row>
    <x:row r="28">
      <x:c r="A28" s="28" t="str">
        <x:v>json_text</x:v>
      </x:c>
      <x:c r="B28" s="28" t="str">
        <x:v>Portable serialized structured payload</x:v>
      </x:c>
      <x:c r="C28" s="28" t="str">
        <x:v>{"key":"value"}</x:v>
      </x:c>
    </x:row>
    <x:row r="31">
      <x:c r="A31" s="35" t="str">
        <x:v>Reference Model</x:v>
      </x:c>
      <x:c r="B31" s="35"/>
      <x:c r="C31" s="35"/>
      <x:c r="D31" s="35"/>
      <x:c r="E31" s="35"/>
      <x:c r="F31" s="35"/>
      <x:c r="G31" s="35"/>
      <x:c r="H31" s="35"/>
      <x:c r="I31" s="35"/>
      <x:c r="J31" s="35"/>
    </x:row>
    <x:row r="32">
      <x:c r="A32" s="26" t="str">
        <x:v>Item</x:v>
      </x:c>
      <x:c r="B32" s="26" t="str">
        <x:v>Definition</x:v>
      </x:c>
    </x:row>
    <x:row r="33">
      <x:c r="A33" s="28" t="str">
        <x:v>Authoritative identity</x:v>
      </x:c>
      <x:c r="B33" s="28" t="str">
        <x:v>Object_ID row in 02_OBJECTS.</x:v>
      </x:c>
    </x:row>
    <x:row r="34">
      <x:c r="A34" s="28" t="str">
        <x:v>Compact display</x:v>
      </x:c>
      <x:c r="B34" s="28" t="str">
        <x:v>Workbook::Worksheet!Anchor[shape,dtype]</x:v>
      </x:c>
    </x:row>
    <x:row r="35">
      <x:c r="A35" s="28" t="str">
        <x:v>2D example</x:v>
      </x:c>
      <x:c r="B35" s="28" t="str">
        <x:v>AITEgpt-v0r0b1::02_OBJECTS!A4:R100[97x18,table]</x:v>
      </x:c>
    </x:row>
    <x:row r="36">
      <x:c r="A36" s="28" t="str">
        <x:v>Scalar example</x:v>
      </x:c>
      <x:c r="B36" s="28" t="str">
        <x:v>AITEgpt-v0r0b1::00_CONTROL!B18[1,enum]</x:v>
      </x:c>
    </x:row>
    <x:row r="37">
      <x:c r="A37" s="28" t="str">
        <x:v>3D example</x:v>
      </x:c>
      <x:c r="B37" s="28" t="str">
        <x:v>tensor3 object + ordered slice Object_IDs, each slice represented as a 2D range.</x:v>
      </x:c>
    </x:row>
    <x:row r="38">
      <x:c r="A38" s="28" t="str">
        <x:v>Why not cell clusters?</x:v>
      </x:c>
      <x:c r="B38" s="28" t="str">
        <x:v>Portable spreadsheet behavior is more reliable when location/shape/type are metadata rather than opaque cell objects.</x:v>
      </x:c>
    </x:row>
    <x:row r="39">
      <x:c r="A39" s="28" t="str">
        <x:v>Parameter rule</x:v>
      </x:c>
      <x:c r="B39" s="28" t="str">
        <x:v>Param_ID → Object_ID is authoritative. Compact pointer text is derived display metadata.</x:v>
      </x:c>
    </x:row>
  </x:sheetData>
  <x:mergeCells>
    <x:mergeCell ref="A1:J1"/>
    <x:mergeCell ref="A3:J3"/>
    <x:mergeCell ref="A17:J17"/>
    <x:mergeCell ref="A31:J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20" hidden="0" customWidth="1"/>
    <x:col min="5" max="5" width="20" hidden="0" customWidth="1"/>
    <x:col min="6" max="6" width="16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4" hidden="0" customWidth="1"/>
    <x:col min="13" max="13" width="10" hidden="0" customWidth="1"/>
    <x:col min="14" max="14" width="14" hidden="0" customWidth="1"/>
    <x:col min="15" max="15" width="14" hidden="0" customWidth="1"/>
    <x:col min="16" max="16" width="52" hidden="0" customWidth="1"/>
    <x:col min="17" max="17" width="18" hidden="0" customWidth="1"/>
    <x:col min="18" max="18" width="52" hidden="0" customWidth="1"/>
  </x:cols>
  <x:sheetData>
    <x:row r="1" ht="26" customHeight="1">
      <x:c r="A1" s="5" t="str">
        <x:v>Object Registry — address, shape, type, scope and lifecycle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26" t="str">
        <x:v>Object_ID</x:v>
      </x:c>
      <x:c r="B3" s="26" t="str">
        <x:v>Name</x:v>
      </x:c>
      <x:c r="C3" s="26" t="str">
        <x:v>Class</x:v>
      </x:c>
      <x:c r="D3" s="26" t="str">
        <x:v>Workbook</x:v>
      </x:c>
      <x:c r="E3" s="26" t="str">
        <x:v>Worksheet</x:v>
      </x:c>
      <x:c r="F3" s="26" t="str">
        <x:v>Anchor</x:v>
      </x:c>
      <x:c r="G3" s="26" t="str">
        <x:v>Rank</x:v>
      </x:c>
      <x:c r="H3" s="26" t="str">
        <x:v>Dim1</x:v>
      </x:c>
      <x:c r="I3" s="26" t="str">
        <x:v>Dim2</x:v>
      </x:c>
      <x:c r="J3" s="26" t="str">
        <x:v>Dim3</x:v>
      </x:c>
      <x:c r="K3" s="26" t="str">
        <x:v>DType</x:v>
      </x:c>
      <x:c r="L3" s="26" t="str">
        <x:v>Scope</x:v>
      </x:c>
      <x:c r="M3" s="26" t="str">
        <x:v>Mutable</x:v>
      </x:c>
      <x:c r="N3" s="26" t="str">
        <x:v>Owner_Function</x:v>
      </x:c>
      <x:c r="O3" s="26" t="str">
        <x:v>Lifecycle</x:v>
      </x:c>
      <x:c r="P3" s="26" t="str">
        <x:v>Description</x:v>
      </x:c>
      <x:c r="Q3" s="26" t="str">
        <x:v>Shape</x:v>
      </x:c>
      <x:c r="R3" s="26" t="str">
        <x:v>Compact_REF</x:v>
      </x:c>
    </x:row>
    <x:row r="4">
      <x:c r="A4" s="28" t="str">
        <x:v>OBJ0001</x:v>
      </x:c>
      <x:c r="B4" s="28" t="str">
        <x:v>RawProseRequest</x:v>
      </x:c>
      <x:c r="C4" s="28" t="str">
        <x:v>text</x:v>
      </x:c>
      <x:c r="D4" s="28" t="str">
        <x:v>AITEgpt-v0r0b1</x:v>
      </x:c>
      <x:c r="E4" s="28" t="str">
        <x:v>00_CONTROL</x:v>
      </x:c>
      <x:c r="F4" s="28" t="str">
        <x:v>B9</x:v>
      </x:c>
      <x:c r="G4" s="28" t="n">
        <x:v>0</x:v>
      </x:c>
      <x:c r="H4" s="28" t="n">
        <x:v>1</x:v>
      </x:c>
      <x:c r="I4" s="28" t="n">
        <x:v>1</x:v>
      </x:c>
      <x:c r="J4" s="28" t="n">
        <x:v>1</x:v>
      </x:c>
      <x:c r="K4" s="28" t="str">
        <x:v>text</x:v>
      </x:c>
      <x:c r="L4" s="28" t="str">
        <x:v>project</x:v>
      </x:c>
      <x:c r="M4" s="28" t="str">
        <x:v>NO</x:v>
      </x:c>
      <x:c r="N4" s="28" t="str">
        <x:v>F001</x:v>
      </x:c>
      <x:c r="O4" s="28" t="str">
        <x:v>input</x:v>
      </x:c>
      <x:c r="P4" s="28" t="str">
        <x:v>Original human prose/request; evidence only.</x:v>
      </x:c>
      <x:c r="Q4" s="28" t="str">
        <x:f>IF(G4=0,"1",IF(G4=1,H4&amp;"x1",IF(G4=2,H4&amp;"x"&amp;I4,H4&amp;"x"&amp;I4&amp;"x"&amp;J4)))</x:f>
        <x:v>1</x:v>
      </x:c>
      <x:c r="R4" s="28" t="str">
        <x:f>D4&amp;"::"&amp;E4&amp;"!"&amp;F4&amp;"["&amp;Q4&amp;","&amp;K4&amp;"]"</x:f>
        <x:v>AITEgpt-v0r0b1::00_CONTROL!B9[1,text]</x:v>
      </x:c>
    </x:row>
    <x:row r="5">
      <x:c r="A5" s="28" t="str">
        <x:v>OBJ0002</x:v>
      </x:c>
      <x:c r="B5" s="28" t="str">
        <x:v>IntentRegistry</x:v>
      </x:c>
      <x:c r="C5" s="28" t="str">
        <x:v>table</x:v>
      </x:c>
      <x:c r="D5" s="28" t="str">
        <x:v>AITEgpt-v0r0b1</x:v>
      </x:c>
      <x:c r="E5" s="28" t="str">
        <x:v>08_INTENT</x:v>
      </x:c>
      <x:c r="F5" s="28" t="str">
        <x:v>A3:J500</x:v>
      </x:c>
      <x:c r="G5" s="28" t="n">
        <x:v>2</x:v>
      </x:c>
      <x:c r="H5" s="28" t="str">
        <x:v>dynamic</x:v>
      </x:c>
      <x:c r="I5" s="28" t="n">
        <x:v>10</x:v>
      </x:c>
      <x:c r="J5" s="28" t="n">
        <x:v>1</x:v>
      </x:c>
      <x:c r="K5" s="28" t="str">
        <x:v>record</x:v>
      </x:c>
      <x:c r="L5" s="28" t="str">
        <x:v>project</x:v>
      </x:c>
      <x:c r="M5" s="28" t="str">
        <x:v>YES</x:v>
      </x:c>
      <x:c r="N5" s="28" t="str">
        <x:v>F002</x:v>
      </x:c>
      <x:c r="O5" s="28" t="str">
        <x:v>working</x:v>
      </x:c>
      <x:c r="P5" s="28" t="str">
        <x:v>Atomic intents and code-shaped translations.</x:v>
      </x:c>
      <x:c r="Q5" s="28" t="str">
        <x:f>IF(G5=0,"1",IF(G5=1,H5&amp;"x1",IF(G5=2,H5&amp;"x"&amp;I5,H5&amp;"x"&amp;I5&amp;"x"&amp;J5)))</x:f>
        <x:v>dynamicx10</x:v>
      </x:c>
      <x:c r="R5" s="28" t="str">
        <x:f>D5&amp;"::"&amp;E5&amp;"!"&amp;F5&amp;"["&amp;Q5&amp;","&amp;K5&amp;"]"</x:f>
        <x:v>AITEgpt-v0r0b1::08_INTENT!A3:J500[dynamicx10,record]</x:v>
      </x:c>
    </x:row>
    <x:row r="6">
      <x:c r="A6" s="28" t="str">
        <x:v>OBJ0003</x:v>
      </x:c>
      <x:c r="B6" s="28" t="str">
        <x:v>ObjectRegistry</x:v>
      </x:c>
      <x:c r="C6" s="28" t="str">
        <x:v>table</x:v>
      </x:c>
      <x:c r="D6" s="28" t="str">
        <x:v>AITEgpt-v0r0b1</x:v>
      </x:c>
      <x:c r="E6" s="28" t="str">
        <x:v>02_OBJECTS</x:v>
      </x:c>
      <x:c r="F6" s="28" t="str">
        <x:v>A3:R500</x:v>
      </x:c>
      <x:c r="G6" s="28" t="n">
        <x:v>2</x:v>
      </x:c>
      <x:c r="H6" s="28" t="str">
        <x:v>dynamic</x:v>
      </x:c>
      <x:c r="I6" s="28" t="n">
        <x:v>18</x:v>
      </x:c>
      <x:c r="J6" s="28" t="n">
        <x:v>1</x:v>
      </x:c>
      <x:c r="K6" s="28" t="str">
        <x:v>record</x:v>
      </x:c>
      <x:c r="L6" s="28" t="str">
        <x:v>project</x:v>
      </x:c>
      <x:c r="M6" s="28" t="str">
        <x:v>YES</x:v>
      </x:c>
      <x:c r="N6" s="28" t="str">
        <x:v>F003</x:v>
      </x:c>
      <x:c r="O6" s="28" t="str">
        <x:v>working</x:v>
      </x:c>
      <x:c r="P6" s="28" t="str">
        <x:v>Typed data objects with canonical locations.</x:v>
      </x:c>
      <x:c r="Q6" s="28" t="str">
        <x:f>IF(G6=0,"1",IF(G6=1,H6&amp;"x1",IF(G6=2,H6&amp;"x"&amp;I6,H6&amp;"x"&amp;I6&amp;"x"&amp;J6)))</x:f>
        <x:v>dynamicx18</x:v>
      </x:c>
      <x:c r="R6" s="28" t="str">
        <x:f>D6&amp;"::"&amp;E6&amp;"!"&amp;F6&amp;"["&amp;Q6&amp;","&amp;K6&amp;"]"</x:f>
        <x:v>AITEgpt-v0r0b1::02_OBJECTS!A3:R500[dynamicx18,record]</x:v>
      </x:c>
    </x:row>
    <x:row r="7">
      <x:c r="A7" s="28" t="str">
        <x:v>OBJ0004</x:v>
      </x:c>
      <x:c r="B7" s="28" t="str">
        <x:v>ParameterRegistry</x:v>
      </x:c>
      <x:c r="C7" s="28" t="str">
        <x:v>table</x:v>
      </x:c>
      <x:c r="D7" s="28" t="str">
        <x:v>AITEgpt-v0r0b1</x:v>
      </x:c>
      <x:c r="E7" s="28" t="str">
        <x:v>03_PARAMETERS</x:v>
      </x:c>
      <x:c r="F7" s="28" t="str">
        <x:v>A3:L1000</x:v>
      </x:c>
      <x:c r="G7" s="28" t="n">
        <x:v>2</x:v>
      </x:c>
      <x:c r="H7" s="28" t="str">
        <x:v>dynamic</x:v>
      </x:c>
      <x:c r="I7" s="28" t="n">
        <x:v>12</x:v>
      </x:c>
      <x:c r="J7" s="28" t="n">
        <x:v>1</x:v>
      </x:c>
      <x:c r="K7" s="28" t="str">
        <x:v>record</x:v>
      </x:c>
      <x:c r="L7" s="28" t="str">
        <x:v>project</x:v>
      </x:c>
      <x:c r="M7" s="28" t="str">
        <x:v>YES</x:v>
      </x:c>
      <x:c r="N7" s="28" t="str">
        <x:v>F004</x:v>
      </x:c>
      <x:c r="O7" s="28" t="str">
        <x:v>working</x:v>
      </x:c>
      <x:c r="P7" s="28" t="str">
        <x:v>Function I/O bindings.</x:v>
      </x:c>
      <x:c r="Q7" s="28" t="str">
        <x:f>IF(G7=0,"1",IF(G7=1,H7&amp;"x1",IF(G7=2,H7&amp;"x"&amp;I7,H7&amp;"x"&amp;I7&amp;"x"&amp;J7)))</x:f>
        <x:v>dynamicx12</x:v>
      </x:c>
      <x:c r="R7" s="28" t="str">
        <x:f>D7&amp;"::"&amp;E7&amp;"!"&amp;F7&amp;"["&amp;Q7&amp;","&amp;K7&amp;"]"</x:f>
        <x:v>AITEgpt-v0r0b1::03_PARAMETERS!A3:L1000[dynamicx12,record]</x:v>
      </x:c>
    </x:row>
    <x:row r="8">
      <x:c r="A8" s="28" t="str">
        <x:v>OBJ0005</x:v>
      </x:c>
      <x:c r="B8" s="28" t="str">
        <x:v>FunctionRegistry</x:v>
      </x:c>
      <x:c r="C8" s="28" t="str">
        <x:v>table</x:v>
      </x:c>
      <x:c r="D8" s="28" t="str">
        <x:v>AITEgpt-v0r0b1</x:v>
      </x:c>
      <x:c r="E8" s="28" t="str">
        <x:v>04_FUNCTIONS</x:v>
      </x:c>
      <x:c r="F8" s="28" t="str">
        <x:v>A3:O500</x:v>
      </x:c>
      <x:c r="G8" s="28" t="n">
        <x:v>2</x:v>
      </x:c>
      <x:c r="H8" s="28" t="str">
        <x:v>dynamic</x:v>
      </x:c>
      <x:c r="I8" s="28" t="n">
        <x:v>15</x:v>
      </x:c>
      <x:c r="J8" s="28" t="n">
        <x:v>1</x:v>
      </x:c>
      <x:c r="K8" s="28" t="str">
        <x:v>record</x:v>
      </x:c>
      <x:c r="L8" s="28" t="str">
        <x:v>project</x:v>
      </x:c>
      <x:c r="M8" s="28" t="str">
        <x:v>YES</x:v>
      </x:c>
      <x:c r="N8" s="28" t="str">
        <x:v>F004</x:v>
      </x:c>
      <x:c r="O8" s="28" t="str">
        <x:v>working</x:v>
      </x:c>
      <x:c r="P8" s="28" t="str">
        <x:v>Function semantics and gates.</x:v>
      </x:c>
      <x:c r="Q8" s="28" t="str">
        <x:f>IF(G8=0,"1",IF(G8=1,H8&amp;"x1",IF(G8=2,H8&amp;"x"&amp;I8,H8&amp;"x"&amp;I8&amp;"x"&amp;J8)))</x:f>
        <x:v>dynamicx15</x:v>
      </x:c>
      <x:c r="R8" s="28" t="str">
        <x:f>D8&amp;"::"&amp;E8&amp;"!"&amp;F8&amp;"["&amp;Q8&amp;","&amp;K8&amp;"]"</x:f>
        <x:v>AITEgpt-v0r0b1::04_FUNCTIONS!A3:O500[dynamicx15,record]</x:v>
      </x:c>
    </x:row>
    <x:row r="9">
      <x:c r="A9" s="28" t="str">
        <x:v>OBJ0006</x:v>
      </x:c>
      <x:c r="B9" s="28" t="str">
        <x:v>TransitionRegistry</x:v>
      </x:c>
      <x:c r="C9" s="28" t="str">
        <x:v>table</x:v>
      </x:c>
      <x:c r="D9" s="28" t="str">
        <x:v>AITEgpt-v0r0b1</x:v>
      </x:c>
      <x:c r="E9" s="28" t="str">
        <x:v>05_TRANSITIONS</x:v>
      </x:c>
      <x:c r="F9" s="28" t="str">
        <x:v>A3:L1000</x:v>
      </x:c>
      <x:c r="G9" s="28" t="n">
        <x:v>2</x:v>
      </x:c>
      <x:c r="H9" s="28" t="str">
        <x:v>dynamic</x:v>
      </x:c>
      <x:c r="I9" s="28" t="n">
        <x:v>12</x:v>
      </x:c>
      <x:c r="J9" s="28" t="n">
        <x:v>1</x:v>
      </x:c>
      <x:c r="K9" s="28" t="str">
        <x:v>record</x:v>
      </x:c>
      <x:c r="L9" s="28" t="str">
        <x:v>project</x:v>
      </x:c>
      <x:c r="M9" s="28" t="str">
        <x:v>YES</x:v>
      </x:c>
      <x:c r="N9" s="28" t="str">
        <x:v>F005</x:v>
      </x:c>
      <x:c r="O9" s="28" t="str">
        <x:v>working</x:v>
      </x:c>
      <x:c r="P9" s="28" t="str">
        <x:v>Explicit state/event/scope transitions.</x:v>
      </x:c>
      <x:c r="Q9" s="28" t="str">
        <x:f>IF(G9=0,"1",IF(G9=1,H9&amp;"x1",IF(G9=2,H9&amp;"x"&amp;I9,H9&amp;"x"&amp;I9&amp;"x"&amp;J9)))</x:f>
        <x:v>dynamicx12</x:v>
      </x:c>
      <x:c r="R9" s="28" t="str">
        <x:f>D9&amp;"::"&amp;E9&amp;"!"&amp;F9&amp;"["&amp;Q9&amp;","&amp;K9&amp;"]"</x:f>
        <x:v>AITEgpt-v0r0b1::05_TRANSITIONS!A3:L1000[dynamicx12,record]</x:v>
      </x:c>
    </x:row>
    <x:row r="10">
      <x:c r="A10" s="28" t="str">
        <x:v>OBJ0007</x:v>
      </x:c>
      <x:c r="B10" s="28" t="str">
        <x:v>QARegistry</x:v>
      </x:c>
      <x:c r="C10" s="28" t="str">
        <x:v>table</x:v>
      </x:c>
      <x:c r="D10" s="28" t="str">
        <x:v>AITEgpt-v0r0b1</x:v>
      </x:c>
      <x:c r="E10" s="28" t="str">
        <x:v>06_QA</x:v>
      </x:c>
      <x:c r="F10" s="28" t="str">
        <x:v>A3:L1000</x:v>
      </x:c>
      <x:c r="G10" s="28" t="n">
        <x:v>2</x:v>
      </x:c>
      <x:c r="H10" s="28" t="str">
        <x:v>dynamic</x:v>
      </x:c>
      <x:c r="I10" s="28" t="n">
        <x:v>12</x:v>
      </x:c>
      <x:c r="J10" s="28" t="n">
        <x:v>1</x:v>
      </x:c>
      <x:c r="K10" s="28" t="str">
        <x:v>record</x:v>
      </x:c>
      <x:c r="L10" s="28" t="str">
        <x:v>project</x:v>
      </x:c>
      <x:c r="M10" s="28" t="str">
        <x:v>YES</x:v>
      </x:c>
      <x:c r="N10" s="28" t="str">
        <x:v>F006</x:v>
      </x:c>
      <x:c r="O10" s="28" t="str">
        <x:v>working</x:v>
      </x:c>
      <x:c r="P10" s="28" t="str">
        <x:v>Pre/post implementation tests.</x:v>
      </x:c>
      <x:c r="Q10" s="28" t="str">
        <x:f>IF(G10=0,"1",IF(G10=1,H10&amp;"x1",IF(G10=2,H10&amp;"x"&amp;I10,H10&amp;"x"&amp;I10&amp;"x"&amp;J10)))</x:f>
        <x:v>dynamicx12</x:v>
      </x:c>
      <x:c r="R10" s="28" t="str">
        <x:f>D10&amp;"::"&amp;E10&amp;"!"&amp;F10&amp;"["&amp;Q10&amp;","&amp;K10&amp;"]"</x:f>
        <x:v>AITEgpt-v0r0b1::06_QA!A3:L1000[dynamicx12,record]</x:v>
      </x:c>
    </x:row>
    <x:row r="11">
      <x:c r="A11" s="28" t="str">
        <x:v>OBJ0008</x:v>
      </x:c>
      <x:c r="B11" s="28" t="str">
        <x:v>AmbiguityRegistry</x:v>
      </x:c>
      <x:c r="C11" s="28" t="str">
        <x:v>table</x:v>
      </x:c>
      <x:c r="D11" s="28" t="str">
        <x:v>AITEgpt-v0r0b1</x:v>
      </x:c>
      <x:c r="E11" s="28" t="str">
        <x:v>07_AMBIGUITIES</x:v>
      </x:c>
      <x:c r="F11" s="28" t="str">
        <x:v>A3:H500</x:v>
      </x:c>
      <x:c r="G11" s="28" t="n">
        <x:v>2</x:v>
      </x:c>
      <x:c r="H11" s="28" t="str">
        <x:v>dynamic</x:v>
      </x:c>
      <x:c r="I11" s="28" t="n">
        <x:v>8</x:v>
      </x:c>
      <x:c r="J11" s="28" t="n">
        <x:v>1</x:v>
      </x:c>
      <x:c r="K11" s="28" t="str">
        <x:v>record</x:v>
      </x:c>
      <x:c r="L11" s="28" t="str">
        <x:v>project</x:v>
      </x:c>
      <x:c r="M11" s="28" t="str">
        <x:v>YES</x:v>
      </x:c>
      <x:c r="N11" s="28" t="str">
        <x:v>F007</x:v>
      </x:c>
      <x:c r="O11" s="28" t="str">
        <x:v>working</x:v>
      </x:c>
      <x:c r="P11" s="28" t="str">
        <x:v>Unresolved translation questions.</x:v>
      </x:c>
      <x:c r="Q11" s="28" t="str">
        <x:f>IF(G11=0,"1",IF(G11=1,H11&amp;"x1",IF(G11=2,H11&amp;"x"&amp;I11,H11&amp;"x"&amp;I11&amp;"x"&amp;J11)))</x:f>
        <x:v>dynamicx8</x:v>
      </x:c>
      <x:c r="R11" s="28" t="str">
        <x:f>D11&amp;"::"&amp;E11&amp;"!"&amp;F11&amp;"["&amp;Q11&amp;","&amp;K11&amp;"]"</x:f>
        <x:v>AITEgpt-v0r0b1::07_AMBIGUITIES!A3:H500[dynamicx8,record]</x:v>
      </x:c>
    </x:row>
    <x:row r="12">
      <x:c r="A12" s="28" t="str">
        <x:v>OBJ0009</x:v>
      </x:c>
      <x:c r="B12" s="28" t="str">
        <x:v>TraceMap</x:v>
      </x:c>
      <x:c r="C12" s="28" t="str">
        <x:v>table</x:v>
      </x:c>
      <x:c r="D12" s="28" t="str">
        <x:v>AITEgpt-v0r0b1</x:v>
      </x:c>
      <x:c r="E12" s="28" t="str">
        <x:v>09_TRACE</x:v>
      </x:c>
      <x:c r="F12" s="28" t="str">
        <x:v>A3:J1000</x:v>
      </x:c>
      <x:c r="G12" s="28" t="n">
        <x:v>2</x:v>
      </x:c>
      <x:c r="H12" s="28" t="str">
        <x:v>dynamic</x:v>
      </x:c>
      <x:c r="I12" s="28" t="n">
        <x:v>10</x:v>
      </x:c>
      <x:c r="J12" s="28" t="n">
        <x:v>1</x:v>
      </x:c>
      <x:c r="K12" s="28" t="str">
        <x:v>record</x:v>
      </x:c>
      <x:c r="L12" s="28" t="str">
        <x:v>project</x:v>
      </x:c>
      <x:c r="M12" s="28" t="str">
        <x:v>YES</x:v>
      </x:c>
      <x:c r="N12" s="28" t="str">
        <x:v>F007</x:v>
      </x:c>
      <x:c r="O12" s="28" t="str">
        <x:v>working</x:v>
      </x:c>
      <x:c r="P12" s="28" t="str">
        <x:v>End-to-end traceability.</x:v>
      </x:c>
      <x:c r="Q12" s="28" t="str">
        <x:f>IF(G12=0,"1",IF(G12=1,H12&amp;"x1",IF(G12=2,H12&amp;"x"&amp;I12,H12&amp;"x"&amp;I12&amp;"x"&amp;J12)))</x:f>
        <x:v>dynamicx10</x:v>
      </x:c>
      <x:c r="R12" s="28" t="str">
        <x:f>D12&amp;"::"&amp;E12&amp;"!"&amp;F12&amp;"["&amp;Q12&amp;","&amp;K12&amp;"]"</x:f>
        <x:v>AITEgpt-v0r0b1::09_TRACE!A3:J1000[dynamicx10,record]</x:v>
      </x:c>
    </x:row>
    <x:row r="13">
      <x:c r="A13" s="28" t="str">
        <x:v>OBJ0010</x:v>
      </x:c>
      <x:c r="B13" s="28" t="str">
        <x:v>CommittedSpec</x:v>
      </x:c>
      <x:c r="C13" s="28" t="str">
        <x:v>record</x:v>
      </x:c>
      <x:c r="D13" s="28" t="str">
        <x:v>AITEgpt-v0r0b1</x:v>
      </x:c>
      <x:c r="E13" s="28" t="str">
        <x:v>00_CONTROL</x:v>
      </x:c>
      <x:c r="F13" s="28" t="str">
        <x:v>A3:B30</x:v>
      </x:c>
      <x:c r="G13" s="28" t="n">
        <x:v>2</x:v>
      </x:c>
      <x:c r="H13" s="28" t="n">
        <x:v>28</x:v>
      </x:c>
      <x:c r="I13" s="28" t="n">
        <x:v>2</x:v>
      </x:c>
      <x:c r="J13" s="28" t="n">
        <x:v>1</x:v>
      </x:c>
      <x:c r="K13" s="28" t="str">
        <x:v>record</x:v>
      </x:c>
      <x:c r="L13" s="28" t="str">
        <x:v>project</x:v>
      </x:c>
      <x:c r="M13" s="28" t="str">
        <x:v>NO</x:v>
      </x:c>
      <x:c r="N13" s="28" t="str">
        <x:v>F008</x:v>
      </x:c>
      <x:c r="O13" s="28" t="str">
        <x:v>committed</x:v>
      </x:c>
      <x:c r="P13" s="28" t="str">
        <x:v>Human-approved controlling snapshot.</x:v>
      </x:c>
      <x:c r="Q13" s="28" t="str">
        <x:f>IF(G13=0,"1",IF(G13=1,H13&amp;"x1",IF(G13=2,H13&amp;"x"&amp;I13,H13&amp;"x"&amp;I13&amp;"x"&amp;J13)))</x:f>
        <x:v>28x2</x:v>
      </x:c>
      <x:c r="R13" s="28" t="str">
        <x:f>D13&amp;"::"&amp;E13&amp;"!"&amp;F13&amp;"["&amp;Q13&amp;","&amp;K13&amp;"]"</x:f>
        <x:v>AITEgpt-v0r0b1::00_CONTROL!A3:B30[28x2,record]</x:v>
      </x:c>
    </x:row>
    <x:row r="14">
      <x:c r="A14" s="28" t="str">
        <x:v>OBJ0011</x:v>
      </x:c>
      <x:c r="B14" s="28" t="str">
        <x:v>ImplementationSpec</x:v>
      </x:c>
      <x:c r="C14" s="28" t="str">
        <x:v>record</x:v>
      </x:c>
      <x:c r="D14" s="28" t="str">
        <x:v>AITEgpt-v0r0b1</x:v>
      </x:c>
      <x:c r="E14" s="28" t="str">
        <x:v>09_TRACE</x:v>
      </x:c>
      <x:c r="F14" s="28" t="str">
        <x:v>A3:J1000</x:v>
      </x:c>
      <x:c r="G14" s="28" t="n">
        <x:v>2</x:v>
      </x:c>
      <x:c r="H14" s="28" t="str">
        <x:v>dynamic</x:v>
      </x:c>
      <x:c r="I14" s="28" t="n">
        <x:v>10</x:v>
      </x:c>
      <x:c r="J14" s="28" t="n">
        <x:v>1</x:v>
      </x:c>
      <x:c r="K14" s="28" t="str">
        <x:v>record</x:v>
      </x:c>
      <x:c r="L14" s="28" t="str">
        <x:v>project</x:v>
      </x:c>
      <x:c r="M14" s="28" t="str">
        <x:v>NO</x:v>
      </x:c>
      <x:c r="N14" s="28" t="str">
        <x:v>F009</x:v>
      </x:c>
      <x:c r="O14" s="28" t="str">
        <x:v>emitted</x:v>
      </x:c>
      <x:c r="P14" s="28" t="str">
        <x:v>Implementation instructions from committed records only.</x:v>
      </x:c>
      <x:c r="Q14" s="28" t="str">
        <x:f>IF(G14=0,"1",IF(G14=1,H14&amp;"x1",IF(G14=2,H14&amp;"x"&amp;I14,H14&amp;"x"&amp;I14&amp;"x"&amp;J14)))</x:f>
        <x:v>dynamicx10</x:v>
      </x:c>
      <x:c r="R14" s="28" t="str">
        <x:f>D14&amp;"::"&amp;E14&amp;"!"&amp;F14&amp;"["&amp;Q14&amp;","&amp;K14&amp;"]"</x:f>
        <x:v>AITEgpt-v0r0b1::09_TRACE!A3:J1000[dynamicx10,record]</x:v>
      </x:c>
    </x:row>
    <x:row r="15">
      <x:c r="A15" s="28" t="str">
        <x:v>OBJ0012</x:v>
      </x:c>
      <x:c r="B15" s="28" t="str">
        <x:v>ImplementationEvidence</x:v>
      </x:c>
      <x:c r="C15" s="28" t="str">
        <x:v>record</x:v>
      </x:c>
      <x:c r="D15" s="28" t="str">
        <x:v>AITEgpt-v0r0b1</x:v>
      </x:c>
      <x:c r="E15" s="28" t="str">
        <x:v>06_QA</x:v>
      </x:c>
      <x:c r="F15" s="28" t="str">
        <x:v>A3:L1000</x:v>
      </x:c>
      <x:c r="G15" s="28" t="n">
        <x:v>2</x:v>
      </x:c>
      <x:c r="H15" s="28" t="str">
        <x:v>dynamic</x:v>
      </x:c>
      <x:c r="I15" s="28" t="n">
        <x:v>12</x:v>
      </x:c>
      <x:c r="J15" s="28" t="n">
        <x:v>1</x:v>
      </x:c>
      <x:c r="K15" s="28" t="str">
        <x:v>record</x:v>
      </x:c>
      <x:c r="L15" s="28" t="str">
        <x:v>project</x:v>
      </x:c>
      <x:c r="M15" s="28" t="str">
        <x:v>YES</x:v>
      </x:c>
      <x:c r="N15" s="28" t="str">
        <x:v>F010</x:v>
      </x:c>
      <x:c r="O15" s="28" t="str">
        <x:v>verification</x:v>
      </x:c>
      <x:c r="P15" s="28" t="str">
        <x:v>Observed test/trace evidence.</x:v>
      </x:c>
      <x:c r="Q15" s="28" t="str">
        <x:f>IF(G15=0,"1",IF(G15=1,H15&amp;"x1",IF(G15=2,H15&amp;"x"&amp;I15,H15&amp;"x"&amp;I15&amp;"x"&amp;J15)))</x:f>
        <x:v>dynamicx12</x:v>
      </x:c>
      <x:c r="R15" s="28" t="str">
        <x:f>D15&amp;"::"&amp;E15&amp;"!"&amp;F15&amp;"["&amp;Q15&amp;","&amp;K15&amp;"]"</x:f>
        <x:v>AITEgpt-v0r0b1::06_QA!A3:L1000[dynamicx12,record]</x:v>
      </x:c>
    </x:row>
    <x:row r="16">
      <x:c r="A16" s="28" t="str">
        <x:v>OBJ0013</x:v>
      </x:c>
      <x:c r="B16" s="28" t="str">
        <x:v>ReleaseDecision</x:v>
      </x:c>
      <x:c r="C16" s="28" t="str">
        <x:v>scalar</x:v>
      </x:c>
      <x:c r="D16" s="28" t="str">
        <x:v>AITEgpt-v0r0b1</x:v>
      </x:c>
      <x:c r="E16" s="28" t="str">
        <x:v>00_CONTROL</x:v>
      </x:c>
      <x:c r="F16" s="28" t="str">
        <x:v>B18</x:v>
      </x:c>
      <x:c r="G16" s="28" t="n">
        <x:v>0</x:v>
      </x:c>
      <x:c r="H16" s="28" t="n">
        <x:v>1</x:v>
      </x:c>
      <x:c r="I16" s="28" t="n">
        <x:v>1</x:v>
      </x:c>
      <x:c r="J16" s="28" t="n">
        <x:v>1</x:v>
      </x:c>
      <x:c r="K16" s="28" t="str">
        <x:v>enum</x:v>
      </x:c>
      <x:c r="L16" s="28" t="str">
        <x:v>project</x:v>
      </x:c>
      <x:c r="M16" s="28" t="str">
        <x:v>YES</x:v>
      </x:c>
      <x:c r="N16" s="28" t="str">
        <x:v>F010</x:v>
      </x:c>
      <x:c r="O16" s="28" t="str">
        <x:v>output</x:v>
      </x:c>
      <x:c r="P16" s="28" t="str">
        <x:v>OPEN or BLOCKED.</x:v>
      </x:c>
      <x:c r="Q16" s="28" t="str">
        <x:f>IF(G16=0,"1",IF(G16=1,H16&amp;"x1",IF(G16=2,H16&amp;"x"&amp;I16,H16&amp;"x"&amp;I16&amp;"x"&amp;J16)))</x:f>
        <x:v>1</x:v>
      </x:c>
      <x:c r="R16" s="28" t="str">
        <x:f>D16&amp;"::"&amp;E16&amp;"!"&amp;F16&amp;"["&amp;Q16&amp;","&amp;K16&amp;"]"</x:f>
        <x:v>AITEgpt-v0r0b1::00_CONTROL!B18[1,enum]</x:v>
      </x:c>
    </x:row>
  </x:sheetData>
  <x:mergeCells>
    <x:mergeCell ref="A1:R1"/>
  </x:mergeCells>
  <x:dataValidations count="2">
    <x:dataValidation type="list" sqref="C4:C500">
      <x:formula1>"scalar,text,vector,matrix,tensor3,record,table,function,state,transition"</x:formula1>
    </x:dataValidation>
    <x:dataValidation type="list" sqref="M4:M5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8" hidden="0" customWidth="1"/>
    <x:col min="5" max="5" width="24" hidden="0" customWidth="1"/>
    <x:col min="6" max="6" width="12" hidden="0" customWidth="1"/>
    <x:col min="7" max="7" width="10" hidden="0" customWidth="1"/>
    <x:col min="8" max="8" width="10" hidden="0" customWidth="1"/>
    <x:col min="9" max="9" width="38" hidden="0" customWidth="1"/>
    <x:col min="10" max="10" width="16" hidden="0" customWidth="1"/>
    <x:col min="11" max="11" width="46" hidden="0" customWidth="1"/>
    <x:col min="12" max="12" width="52" hidden="0" customWidth="1"/>
  </x:cols>
  <x:sheetData>
    <x:row r="1" ht="26" customHeight="1">
      <x:c r="A1" s="5" t="str">
        <x:v>Parameter Registry — explicit function I/O bindings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Param_ID</x:v>
      </x:c>
      <x:c r="B3" s="26" t="str">
        <x:v>Function_ID</x:v>
      </x:c>
      <x:c r="C3" s="26" t="str">
        <x:v>Direction</x:v>
      </x:c>
      <x:c r="D3" s="26" t="str">
        <x:v>Ordinal</x:v>
      </x:c>
      <x:c r="E3" s="26" t="str">
        <x:v>Name</x:v>
      </x:c>
      <x:c r="F3" s="26" t="str">
        <x:v>Object_ID</x:v>
      </x:c>
      <x:c r="G3" s="26" t="str">
        <x:v>Required</x:v>
      </x:c>
      <x:c r="H3" s="26" t="str">
        <x:v>Pass_Mode</x:v>
      </x:c>
      <x:c r="I3" s="26" t="str">
        <x:v>Validation</x:v>
      </x:c>
      <x:c r="J3" s="26" t="str">
        <x:v>Default</x:v>
      </x:c>
      <x:c r="K3" s="26" t="str">
        <x:v>Description</x:v>
      </x:c>
      <x:c r="L3" s="26" t="str">
        <x:v>Pointer_Display</x:v>
      </x:c>
    </x:row>
    <x:row r="4">
      <x:c r="A4" s="28" t="str">
        <x:v>PAR0001</x:v>
      </x:c>
      <x:c r="B4" s="28" t="str">
        <x:v>F001</x:v>
      </x:c>
      <x:c r="C4" s="28" t="str">
        <x:v>IN</x:v>
      </x:c>
      <x:c r="D4" s="28" t="n">
        <x:v>1</x:v>
      </x:c>
      <x:c r="E4" s="28" t="str">
        <x:v>prose_request</x:v>
      </x:c>
      <x:c r="F4" s="28" t="str">
        <x:v>OBJ0001</x:v>
      </x:c>
      <x:c r="G4" s="28" t="str">
        <x:v>YES</x:v>
      </x:c>
      <x:c r="H4" s="28" t="str">
        <x:v>value</x:v>
      </x:c>
      <x:c r="I4" s="28" t="str">
        <x:v>non-empty text</x:v>
      </x:c>
      <x:c r="J4" s="28" t="str"/>
      <x:c r="K4" s="28" t="str">
        <x:v>Human request as received.</x:v>
      </x:c>
      <x:c r="L4" s="28" t="str">
        <x:f>IFERROR(INDEX('02_OBJECTS'!$R$4:$R$500,MATCH(F4,'02_OBJECTS'!$A$4:$A$500,0)),"UNRESOLVED")</x:f>
        <x:v>AITEgpt-v0r0b1::00_CONTROL!B9[1,text]</x:v>
      </x:c>
    </x:row>
    <x:row r="5">
      <x:c r="A5" s="28" t="str">
        <x:v>PAR0002</x:v>
      </x:c>
      <x:c r="B5" s="28" t="str">
        <x:v>F001</x:v>
      </x:c>
      <x:c r="C5" s="28" t="str">
        <x:v>OUT</x:v>
      </x:c>
      <x:c r="D5" s="28" t="n">
        <x:v>1</x:v>
      </x:c>
      <x:c r="E5" s="28" t="str">
        <x:v>intent_registry</x:v>
      </x:c>
      <x:c r="F5" s="28" t="str">
        <x:v>OBJ0002</x:v>
      </x:c>
      <x:c r="G5" s="28" t="str">
        <x:v>YES</x:v>
      </x:c>
      <x:c r="H5" s="28" t="str">
        <x:v>ref</x:v>
      </x:c>
      <x:c r="I5" s="28" t="str">
        <x:v>new Intent_ID rows</x:v>
      </x:c>
      <x:c r="J5" s="28" t="str"/>
      <x:c r="K5" s="28" t="str">
        <x:v>Atomic intent records.</x:v>
      </x:c>
      <x:c r="L5" s="28" t="str">
        <x:f>IFERROR(INDEX('02_OBJECTS'!$R$4:$R$500,MATCH(F5,'02_OBJECTS'!$A$4:$A$500,0)),"UNRESOLVED")</x:f>
        <x:v>AITEgpt-v0r0b1::08_INTENT!A3:J500[dynamicx10,record]</x:v>
      </x:c>
    </x:row>
    <x:row r="6">
      <x:c r="A6" s="28" t="str">
        <x:v>PAR0003</x:v>
      </x:c>
      <x:c r="B6" s="28" t="str">
        <x:v>F002</x:v>
      </x:c>
      <x:c r="C6" s="28" t="str">
        <x:v>IN</x:v>
      </x:c>
      <x:c r="D6" s="28" t="n">
        <x:v>1</x:v>
      </x:c>
      <x:c r="E6" s="28" t="str">
        <x:v>intent_registry</x:v>
      </x:c>
      <x:c r="F6" s="28" t="str">
        <x:v>OBJ0002</x:v>
      </x:c>
      <x:c r="G6" s="28" t="str">
        <x:v>YES</x:v>
      </x:c>
      <x:c r="H6" s="28" t="str">
        <x:v>ref</x:v>
      </x:c>
      <x:c r="I6" s="28" t="str">
        <x:v>DRAFT intents exist</x:v>
      </x:c>
      <x:c r="J6" s="28" t="str"/>
      <x:c r="K6" s="28" t="str">
        <x:v>Unnormalized intents.</x:v>
      </x:c>
      <x:c r="L6" s="28" t="str">
        <x:f>IFERROR(INDEX('02_OBJECTS'!$R$4:$R$500,MATCH(F6,'02_OBJECTS'!$A$4:$A$500,0)),"UNRESOLVED")</x:f>
        <x:v>AITEgpt-v0r0b1::08_INTENT!A3:J500[dynamicx10,record]</x:v>
      </x:c>
    </x:row>
    <x:row r="7">
      <x:c r="A7" s="28" t="str">
        <x:v>PAR0004</x:v>
      </x:c>
      <x:c r="B7" s="28" t="str">
        <x:v>F002</x:v>
      </x:c>
      <x:c r="C7" s="28" t="str">
        <x:v>OUT</x:v>
      </x:c>
      <x:c r="D7" s="28" t="n">
        <x:v>1</x:v>
      </x:c>
      <x:c r="E7" s="28" t="str">
        <x:v>intent_registry</x:v>
      </x:c>
      <x:c r="F7" s="28" t="str">
        <x:v>OBJ0002</x:v>
      </x:c>
      <x:c r="G7" s="28" t="str">
        <x:v>YES</x:v>
      </x:c>
      <x:c r="H7" s="28" t="str">
        <x:v>ref</x:v>
      </x:c>
      <x:c r="I7" s="28" t="str">
        <x:v>code-shaped translation populated</x:v>
      </x:c>
      <x:c r="J7" s="28" t="str"/>
      <x:c r="K7" s="28" t="str">
        <x:v>Normalized intents.</x:v>
      </x:c>
      <x:c r="L7" s="28" t="str">
        <x:f>IFERROR(INDEX('02_OBJECTS'!$R$4:$R$500,MATCH(F7,'02_OBJECTS'!$A$4:$A$500,0)),"UNRESOLVED")</x:f>
        <x:v>AITEgpt-v0r0b1::08_INTENT!A3:J500[dynamicx10,record]</x:v>
      </x:c>
    </x:row>
    <x:row r="8">
      <x:c r="A8" s="28" t="str">
        <x:v>PAR0005</x:v>
      </x:c>
      <x:c r="B8" s="28" t="str">
        <x:v>F003</x:v>
      </x:c>
      <x:c r="C8" s="28" t="str">
        <x:v>IN</x:v>
      </x:c>
      <x:c r="D8" s="28" t="n">
        <x:v>1</x:v>
      </x:c>
      <x:c r="E8" s="28" t="str">
        <x:v>intent_registry</x:v>
      </x:c>
      <x:c r="F8" s="28" t="str">
        <x:v>OBJ0002</x:v>
      </x:c>
      <x:c r="G8" s="28" t="str">
        <x:v>YES</x:v>
      </x:c>
      <x:c r="H8" s="28" t="str">
        <x:v>ref</x:v>
      </x:c>
      <x:c r="I8" s="28" t="str">
        <x:v>translated intents</x:v>
      </x:c>
      <x:c r="J8" s="28" t="str"/>
      <x:c r="K8" s="28" t="str">
        <x:v>Source intents.</x:v>
      </x:c>
      <x:c r="L8" s="28" t="str">
        <x:f>IFERROR(INDEX('02_OBJECTS'!$R$4:$R$500,MATCH(F8,'02_OBJECTS'!$A$4:$A$500,0)),"UNRESOLVED")</x:f>
        <x:v>AITEgpt-v0r0b1::08_INTENT!A3:J500[dynamicx10,record]</x:v>
      </x:c>
    </x:row>
    <x:row r="9">
      <x:c r="A9" s="28" t="str">
        <x:v>PAR0006</x:v>
      </x:c>
      <x:c r="B9" s="28" t="str">
        <x:v>F003</x:v>
      </x:c>
      <x:c r="C9" s="28" t="str">
        <x:v>OUT</x:v>
      </x:c>
      <x:c r="D9" s="28" t="n">
        <x:v>1</x:v>
      </x:c>
      <x:c r="E9" s="28" t="str">
        <x:v>object_registry</x:v>
      </x:c>
      <x:c r="F9" s="28" t="str">
        <x:v>OBJ0003</x:v>
      </x:c>
      <x:c r="G9" s="28" t="str">
        <x:v>YES</x:v>
      </x:c>
      <x:c r="H9" s="28" t="str">
        <x:v>ref</x:v>
      </x:c>
      <x:c r="I9" s="28" t="str">
        <x:v>all data has Object_ID</x:v>
      </x:c>
      <x:c r="J9" s="28" t="str"/>
      <x:c r="K9" s="28" t="str">
        <x:v>Explicit object descriptors.</x:v>
      </x:c>
      <x:c r="L9" s="28" t="str">
        <x:f>IFERROR(INDEX('02_OBJECTS'!$R$4:$R$500,MATCH(F9,'02_OBJECTS'!$A$4:$A$500,0)),"UNRESOLVED")</x:f>
        <x:v>AITEgpt-v0r0b1::02_OBJECTS!A3:R500[dynamicx18,record]</x:v>
      </x:c>
    </x:row>
    <x:row r="10">
      <x:c r="A10" s="28" t="str">
        <x:v>PAR0007</x:v>
      </x:c>
      <x:c r="B10" s="28" t="str">
        <x:v>F004</x:v>
      </x:c>
      <x:c r="C10" s="28" t="str">
        <x:v>IN</x:v>
      </x:c>
      <x:c r="D10" s="28" t="n">
        <x:v>1</x:v>
      </x:c>
      <x:c r="E10" s="28" t="str">
        <x:v>intent_registry</x:v>
      </x:c>
      <x:c r="F10" s="28" t="str">
        <x:v>OBJ0002</x:v>
      </x:c>
      <x:c r="G10" s="28" t="str">
        <x:v>YES</x:v>
      </x:c>
      <x:c r="H10" s="28" t="str">
        <x:v>ref</x:v>
      </x:c>
      <x:c r="I10" s="28" t="str">
        <x:v>translated intents</x:v>
      </x:c>
      <x:c r="J10" s="28" t="str"/>
      <x:c r="K10" s="28" t="str">
        <x:v>Intent source.</x:v>
      </x:c>
      <x:c r="L10" s="28" t="str">
        <x:f>IFERROR(INDEX('02_OBJECTS'!$R$4:$R$500,MATCH(F10,'02_OBJECTS'!$A$4:$A$500,0)),"UNRESOLVED")</x:f>
        <x:v>AITEgpt-v0r0b1::08_INTENT!A3:J500[dynamicx10,record]</x:v>
      </x:c>
    </x:row>
    <x:row r="11">
      <x:c r="A11" s="28" t="str">
        <x:v>PAR0008</x:v>
      </x:c>
      <x:c r="B11" s="28" t="str">
        <x:v>F004</x:v>
      </x:c>
      <x:c r="C11" s="28" t="str">
        <x:v>IN</x:v>
      </x:c>
      <x:c r="D11" s="28" t="n">
        <x:v>2</x:v>
      </x:c>
      <x:c r="E11" s="28" t="str">
        <x:v>object_registry</x:v>
      </x:c>
      <x:c r="F11" s="28" t="str">
        <x:v>OBJ0003</x:v>
      </x:c>
      <x:c r="G11" s="28" t="str">
        <x:v>YES</x:v>
      </x:c>
      <x:c r="H11" s="28" t="str">
        <x:v>ref</x:v>
      </x:c>
      <x:c r="I11" s="28" t="str">
        <x:v>Object_ID resolvable</x:v>
      </x:c>
      <x:c r="J11" s="28" t="str"/>
      <x:c r="K11" s="28" t="str">
        <x:v>Data object source.</x:v>
      </x:c>
      <x:c r="L11" s="28" t="str">
        <x:f>IFERROR(INDEX('02_OBJECTS'!$R$4:$R$500,MATCH(F11,'02_OBJECTS'!$A$4:$A$500,0)),"UNRESOLVED")</x:f>
        <x:v>AITEgpt-v0r0b1::02_OBJECTS!A3:R500[dynamicx18,record]</x:v>
      </x:c>
    </x:row>
    <x:row r="12">
      <x:c r="A12" s="28" t="str">
        <x:v>PAR0009</x:v>
      </x:c>
      <x:c r="B12" s="28" t="str">
        <x:v>F004</x:v>
      </x:c>
      <x:c r="C12" s="28" t="str">
        <x:v>IN</x:v>
      </x:c>
      <x:c r="D12" s="28" t="n">
        <x:v>3</x:v>
      </x:c>
      <x:c r="E12" s="28" t="str">
        <x:v>function_registry</x:v>
      </x:c>
      <x:c r="F12" s="28" t="str">
        <x:v>OBJ0005</x:v>
      </x:c>
      <x:c r="G12" s="28" t="str">
        <x:v>YES</x:v>
      </x:c>
      <x:c r="H12" s="28" t="str">
        <x:v>ref</x:v>
      </x:c>
      <x:c r="I12" s="28" t="str">
        <x:v>Function_ID exists</x:v>
      </x:c>
      <x:c r="J12" s="28" t="str"/>
      <x:c r="K12" s="28" t="str">
        <x:v>Function declarations.</x:v>
      </x:c>
      <x:c r="L12" s="28" t="str">
        <x:f>IFERROR(INDEX('02_OBJECTS'!$R$4:$R$500,MATCH(F12,'02_OBJECTS'!$A$4:$A$500,0)),"UNRESOLVED")</x:f>
        <x:v>AITEgpt-v0r0b1::04_FUNCTIONS!A3:O500[dynamicx15,record]</x:v>
      </x:c>
    </x:row>
    <x:row r="13">
      <x:c r="A13" s="28" t="str">
        <x:v>PAR0010</x:v>
      </x:c>
      <x:c r="B13" s="28" t="str">
        <x:v>F004</x:v>
      </x:c>
      <x:c r="C13" s="28" t="str">
        <x:v>OUT</x:v>
      </x:c>
      <x:c r="D13" s="28" t="n">
        <x:v>1</x:v>
      </x:c>
      <x:c r="E13" s="28" t="str">
        <x:v>parameter_registry</x:v>
      </x:c>
      <x:c r="F13" s="28" t="str">
        <x:v>OBJ0004</x:v>
      </x:c>
      <x:c r="G13" s="28" t="str">
        <x:v>YES</x:v>
      </x:c>
      <x:c r="H13" s="28" t="str">
        <x:v>ref</x:v>
      </x:c>
      <x:c r="I13" s="28" t="str">
        <x:v>every I/O has Object_ID</x:v>
      </x:c>
      <x:c r="J13" s="28" t="str"/>
      <x:c r="K13" s="28" t="str">
        <x:v>Bound I/O.</x:v>
      </x:c>
      <x:c r="L13" s="28" t="str">
        <x:f>IFERROR(INDEX('02_OBJECTS'!$R$4:$R$500,MATCH(F13,'02_OBJECTS'!$A$4:$A$500,0)),"UNRESOLVED")</x:f>
        <x:v>AITEgpt-v0r0b1::03_PARAMETERS!A3:L1000[dynamicx12,record]</x:v>
      </x:c>
    </x:row>
    <x:row r="14">
      <x:c r="A14" s="28" t="str">
        <x:v>PAR0011</x:v>
      </x:c>
      <x:c r="B14" s="28" t="str">
        <x:v>F005</x:v>
      </x:c>
      <x:c r="C14" s="28" t="str">
        <x:v>IN</x:v>
      </x:c>
      <x:c r="D14" s="28" t="n">
        <x:v>1</x:v>
      </x:c>
      <x:c r="E14" s="28" t="str">
        <x:v>function_registry</x:v>
      </x:c>
      <x:c r="F14" s="28" t="str">
        <x:v>OBJ0005</x:v>
      </x:c>
      <x:c r="G14" s="28" t="str">
        <x:v>YES</x:v>
      </x:c>
      <x:c r="H14" s="28" t="str">
        <x:v>ref</x:v>
      </x:c>
      <x:c r="I14" s="28" t="str">
        <x:v>stateful functions identified</x:v>
      </x:c>
      <x:c r="J14" s="28" t="str"/>
      <x:c r="K14" s="28" t="str">
        <x:v>Function definitions.</x:v>
      </x:c>
      <x:c r="L14" s="28" t="str">
        <x:f>IFERROR(INDEX('02_OBJECTS'!$R$4:$R$500,MATCH(F14,'02_OBJECTS'!$A$4:$A$500,0)),"UNRESOLVED")</x:f>
        <x:v>AITEgpt-v0r0b1::04_FUNCTIONS!A3:O500[dynamicx15,record]</x:v>
      </x:c>
    </x:row>
    <x:row r="15">
      <x:c r="A15" s="28" t="str">
        <x:v>PAR0012</x:v>
      </x:c>
      <x:c r="B15" s="28" t="str">
        <x:v>F005</x:v>
      </x:c>
      <x:c r="C15" s="28" t="str">
        <x:v>IN</x:v>
      </x:c>
      <x:c r="D15" s="28" t="n">
        <x:v>2</x:v>
      </x:c>
      <x:c r="E15" s="28" t="str">
        <x:v>object_registry</x:v>
      </x:c>
      <x:c r="F15" s="28" t="str">
        <x:v>OBJ0003</x:v>
      </x:c>
      <x:c r="G15" s="28" t="str">
        <x:v>YES</x:v>
      </x:c>
      <x:c r="H15" s="28" t="str">
        <x:v>ref</x:v>
      </x:c>
      <x:c r="I15" s="28" t="str">
        <x:v>state objects resolvable</x:v>
      </x:c>
      <x:c r="J15" s="28" t="str"/>
      <x:c r="K15" s="28" t="str">
        <x:v>State objects.</x:v>
      </x:c>
      <x:c r="L15" s="28" t="str">
        <x:f>IFERROR(INDEX('02_OBJECTS'!$R$4:$R$500,MATCH(F15,'02_OBJECTS'!$A$4:$A$500,0)),"UNRESOLVED")</x:f>
        <x:v>AITEgpt-v0r0b1::02_OBJECTS!A3:R500[dynamicx18,record]</x:v>
      </x:c>
    </x:row>
    <x:row r="16">
      <x:c r="A16" s="28" t="str">
        <x:v>PAR0013</x:v>
      </x:c>
      <x:c r="B16" s="28" t="str">
        <x:v>F005</x:v>
      </x:c>
      <x:c r="C16" s="28" t="str">
        <x:v>OUT</x:v>
      </x:c>
      <x:c r="D16" s="28" t="n">
        <x:v>1</x:v>
      </x:c>
      <x:c r="E16" s="28" t="str">
        <x:v>transition_registry</x:v>
      </x:c>
      <x:c r="F16" s="28" t="str">
        <x:v>OBJ0006</x:v>
      </x:c>
      <x:c r="G16" s="28" t="str">
        <x:v>YES</x:v>
      </x:c>
      <x:c r="H16" s="28" t="str">
        <x:v>ref</x:v>
      </x:c>
      <x:c r="I16" s="28" t="str">
        <x:v>scope/failure explicit</x:v>
      </x:c>
      <x:c r="J16" s="28" t="str"/>
      <x:c r="K16" s="28" t="str">
        <x:v>Lifecycle transitions.</x:v>
      </x:c>
      <x:c r="L16" s="28" t="str">
        <x:f>IFERROR(INDEX('02_OBJECTS'!$R$4:$R$500,MATCH(F16,'02_OBJECTS'!$A$4:$A$500,0)),"UNRESOLVED")</x:f>
        <x:v>AITEgpt-v0r0b1::05_TRANSITIONS!A3:L1000[dynamicx12,record]</x:v>
      </x:c>
    </x:row>
    <x:row r="17">
      <x:c r="A17" s="28" t="str">
        <x:v>PAR0014</x:v>
      </x:c>
      <x:c r="B17" s="28" t="str">
        <x:v>F006</x:v>
      </x:c>
      <x:c r="C17" s="28" t="str">
        <x:v>IN</x:v>
      </x:c>
      <x:c r="D17" s="28" t="n">
        <x:v>1</x:v>
      </x:c>
      <x:c r="E17" s="28" t="str">
        <x:v>intent_registry</x:v>
      </x:c>
      <x:c r="F17" s="28" t="str">
        <x:v>OBJ0002</x:v>
      </x:c>
      <x:c r="G17" s="28" t="str">
        <x:v>YES</x:v>
      </x:c>
      <x:c r="H17" s="28" t="str">
        <x:v>ref</x:v>
      </x:c>
      <x:c r="I17" s="28" t="str">
        <x:v>acceptance criteria exist</x:v>
      </x:c>
      <x:c r="J17" s="28" t="str"/>
      <x:c r="K17" s="28" t="str">
        <x:v>Intent criteria.</x:v>
      </x:c>
      <x:c r="L17" s="28" t="str">
        <x:f>IFERROR(INDEX('02_OBJECTS'!$R$4:$R$500,MATCH(F17,'02_OBJECTS'!$A$4:$A$500,0)),"UNRESOLVED")</x:f>
        <x:v>AITEgpt-v0r0b1::08_INTENT!A3:J500[dynamicx10,record]</x:v>
      </x:c>
    </x:row>
    <x:row r="18">
      <x:c r="A18" s="28" t="str">
        <x:v>PAR0015</x:v>
      </x:c>
      <x:c r="B18" s="28" t="str">
        <x:v>F006</x:v>
      </x:c>
      <x:c r="C18" s="28" t="str">
        <x:v>IN</x:v>
      </x:c>
      <x:c r="D18" s="28" t="n">
        <x:v>2</x:v>
      </x:c>
      <x:c r="E18" s="28" t="str">
        <x:v>function_registry</x:v>
      </x:c>
      <x:c r="F18" s="28" t="str">
        <x:v>OBJ0005</x:v>
      </x:c>
      <x:c r="G18" s="28" t="str">
        <x:v>YES</x:v>
      </x:c>
      <x:c r="H18" s="28" t="str">
        <x:v>ref</x:v>
      </x:c>
      <x:c r="I18" s="28" t="str">
        <x:v>semantics complete</x:v>
      </x:c>
      <x:c r="J18" s="28" t="str"/>
      <x:c r="K18" s="28" t="str">
        <x:v>Functions under test.</x:v>
      </x:c>
      <x:c r="L18" s="28" t="str">
        <x:f>IFERROR(INDEX('02_OBJECTS'!$R$4:$R$500,MATCH(F18,'02_OBJECTS'!$A$4:$A$500,0)),"UNRESOLVED")</x:f>
        <x:v>AITEgpt-v0r0b1::04_FUNCTIONS!A3:O500[dynamicx15,record]</x:v>
      </x:c>
    </x:row>
    <x:row r="19">
      <x:c r="A19" s="28" t="str">
        <x:v>PAR0016</x:v>
      </x:c>
      <x:c r="B19" s="28" t="str">
        <x:v>F006</x:v>
      </x:c>
      <x:c r="C19" s="28" t="str">
        <x:v>IN</x:v>
      </x:c>
      <x:c r="D19" s="28" t="n">
        <x:v>3</x:v>
      </x:c>
      <x:c r="E19" s="28" t="str">
        <x:v>transition_registry</x:v>
      </x:c>
      <x:c r="F19" s="28" t="str">
        <x:v>OBJ0006</x:v>
      </x:c>
      <x:c r="G19" s="28" t="str">
        <x:v>YES</x:v>
      </x:c>
      <x:c r="H19" s="28" t="str">
        <x:v>ref</x:v>
      </x:c>
      <x:c r="I19" s="28" t="str">
        <x:v>state changes explicit</x:v>
      </x:c>
      <x:c r="J19" s="28" t="str"/>
      <x:c r="K19" s="28" t="str">
        <x:v>Transitions under test.</x:v>
      </x:c>
      <x:c r="L19" s="28" t="str">
        <x:f>IFERROR(INDEX('02_OBJECTS'!$R$4:$R$500,MATCH(F19,'02_OBJECTS'!$A$4:$A$500,0)),"UNRESOLVED")</x:f>
        <x:v>AITEgpt-v0r0b1::05_TRANSITIONS!A3:L1000[dynamicx12,record]</x:v>
      </x:c>
    </x:row>
    <x:row r="20">
      <x:c r="A20" s="28" t="str">
        <x:v>PAR0017</x:v>
      </x:c>
      <x:c r="B20" s="28" t="str">
        <x:v>F006</x:v>
      </x:c>
      <x:c r="C20" s="28" t="str">
        <x:v>OUT</x:v>
      </x:c>
      <x:c r="D20" s="28" t="n">
        <x:v>1</x:v>
      </x:c>
      <x:c r="E20" s="28" t="str">
        <x:v>qa_registry</x:v>
      </x:c>
      <x:c r="F20" s="28" t="str">
        <x:v>OBJ0007</x:v>
      </x:c>
      <x:c r="G20" s="28" t="str">
        <x:v>YES</x:v>
      </x:c>
      <x:c r="H20" s="28" t="str">
        <x:v>ref</x:v>
      </x:c>
      <x:c r="I20" s="28" t="str">
        <x:v>committed behavior has test</x:v>
      </x:c>
      <x:c r="J20" s="28" t="str"/>
      <x:c r="K20" s="28" t="str">
        <x:v>Formal QA.</x:v>
      </x:c>
      <x:c r="L20" s="28" t="str">
        <x:f>IFERROR(INDEX('02_OBJECTS'!$R$4:$R$500,MATCH(F20,'02_OBJECTS'!$A$4:$A$500,0)),"UNRESOLVED")</x:f>
        <x:v>AITEgpt-v0r0b1::06_QA!A3:L1000[dynamicx12,record]</x:v>
      </x:c>
    </x:row>
    <x:row r="21">
      <x:c r="A21" s="28" t="str">
        <x:v>PAR0018</x:v>
      </x:c>
      <x:c r="B21" s="28" t="str">
        <x:v>F007</x:v>
      </x:c>
      <x:c r="C21" s="28" t="str">
        <x:v>IN</x:v>
      </x:c>
      <x:c r="D21" s="28" t="n">
        <x:v>1</x:v>
      </x:c>
      <x:c r="E21" s="28" t="str">
        <x:v>intent_registry</x:v>
      </x:c>
      <x:c r="F21" s="28" t="str">
        <x:v>OBJ0002</x:v>
      </x:c>
      <x:c r="G21" s="28" t="str">
        <x:v>YES</x:v>
      </x:c>
      <x:c r="H21" s="28" t="str">
        <x:v>ref</x:v>
      </x:c>
      <x:c r="I21" s="28" t="str">
        <x:v>translation populated</x:v>
      </x:c>
      <x:c r="J21" s="28" t="str"/>
      <x:c r="K21" s="28" t="str">
        <x:v>Intent set.</x:v>
      </x:c>
      <x:c r="L21" s="28" t="str">
        <x:f>IFERROR(INDEX('02_OBJECTS'!$R$4:$R$500,MATCH(F21,'02_OBJECTS'!$A$4:$A$500,0)),"UNRESOLVED")</x:f>
        <x:v>AITEgpt-v0r0b1::08_INTENT!A3:J500[dynamicx10,record]</x:v>
      </x:c>
    </x:row>
    <x:row r="22">
      <x:c r="A22" s="28" t="str">
        <x:v>PAR0019</x:v>
      </x:c>
      <x:c r="B22" s="28" t="str">
        <x:v>F007</x:v>
      </x:c>
      <x:c r="C22" s="28" t="str">
        <x:v>IN</x:v>
      </x:c>
      <x:c r="D22" s="28" t="n">
        <x:v>2</x:v>
      </x:c>
      <x:c r="E22" s="28" t="str">
        <x:v>object_registry</x:v>
      </x:c>
      <x:c r="F22" s="28" t="str">
        <x:v>OBJ0003</x:v>
      </x:c>
      <x:c r="G22" s="28" t="str">
        <x:v>YES</x:v>
      </x:c>
      <x:c r="H22" s="28" t="str">
        <x:v>ref</x:v>
      </x:c>
      <x:c r="I22" s="28" t="str">
        <x:v>metadata complete</x:v>
      </x:c>
      <x:c r="J22" s="28" t="str"/>
      <x:c r="K22" s="28" t="str">
        <x:v>Object set.</x:v>
      </x:c>
      <x:c r="L22" s="28" t="str">
        <x:f>IFERROR(INDEX('02_OBJECTS'!$R$4:$R$500,MATCH(F22,'02_OBJECTS'!$A$4:$A$500,0)),"UNRESOLVED")</x:f>
        <x:v>AITEgpt-v0r0b1::02_OBJECTS!A3:R500[dynamicx18,record]</x:v>
      </x:c>
    </x:row>
    <x:row r="23">
      <x:c r="A23" s="28" t="str">
        <x:v>PAR0020</x:v>
      </x:c>
      <x:c r="B23" s="28" t="str">
        <x:v>F007</x:v>
      </x:c>
      <x:c r="C23" s="28" t="str">
        <x:v>IN</x:v>
      </x:c>
      <x:c r="D23" s="28" t="n">
        <x:v>3</x:v>
      </x:c>
      <x:c r="E23" s="28" t="str">
        <x:v>parameter_registry</x:v>
      </x:c>
      <x:c r="F23" s="28" t="str">
        <x:v>OBJ0004</x:v>
      </x:c>
      <x:c r="G23" s="28" t="str">
        <x:v>YES</x:v>
      </x:c>
      <x:c r="H23" s="28" t="str">
        <x:v>ref</x:v>
      </x:c>
      <x:c r="I23" s="28" t="str">
        <x:v>I/O bindings complete</x:v>
      </x:c>
      <x:c r="J23" s="28" t="str"/>
      <x:c r="K23" s="28" t="str">
        <x:v>Parameter set.</x:v>
      </x:c>
      <x:c r="L23" s="28" t="str">
        <x:f>IFERROR(INDEX('02_OBJECTS'!$R$4:$R$500,MATCH(F23,'02_OBJECTS'!$A$4:$A$500,0)),"UNRESOLVED")</x:f>
        <x:v>AITEgpt-v0r0b1::03_PARAMETERS!A3:L1000[dynamicx12,record]</x:v>
      </x:c>
    </x:row>
    <x:row r="24">
      <x:c r="A24" s="28" t="str">
        <x:v>PAR0021</x:v>
      </x:c>
      <x:c r="B24" s="28" t="str">
        <x:v>F007</x:v>
      </x:c>
      <x:c r="C24" s="28" t="str">
        <x:v>IN</x:v>
      </x:c>
      <x:c r="D24" s="28" t="n">
        <x:v>4</x:v>
      </x:c>
      <x:c r="E24" s="28" t="str">
        <x:v>transition_registry</x:v>
      </x:c>
      <x:c r="F24" s="28" t="str">
        <x:v>OBJ0006</x:v>
      </x:c>
      <x:c r="G24" s="28" t="str">
        <x:v>YES</x:v>
      </x:c>
      <x:c r="H24" s="28" t="str">
        <x:v>ref</x:v>
      </x:c>
      <x:c r="I24" s="28" t="str">
        <x:v>transitions explicit</x:v>
      </x:c>
      <x:c r="J24" s="28" t="str"/>
      <x:c r="K24" s="28" t="str">
        <x:v>Transition set.</x:v>
      </x:c>
      <x:c r="L24" s="28" t="str">
        <x:f>IFERROR(INDEX('02_OBJECTS'!$R$4:$R$500,MATCH(F24,'02_OBJECTS'!$A$4:$A$500,0)),"UNRESOLVED")</x:f>
        <x:v>AITEgpt-v0r0b1::05_TRANSITIONS!A3:L1000[dynamicx12,record]</x:v>
      </x:c>
    </x:row>
    <x:row r="25">
      <x:c r="A25" s="28" t="str">
        <x:v>PAR0022</x:v>
      </x:c>
      <x:c r="B25" s="28" t="str">
        <x:v>F007</x:v>
      </x:c>
      <x:c r="C25" s="28" t="str">
        <x:v>IN</x:v>
      </x:c>
      <x:c r="D25" s="28" t="n">
        <x:v>5</x:v>
      </x:c>
      <x:c r="E25" s="28" t="str">
        <x:v>qa_registry</x:v>
      </x:c>
      <x:c r="F25" s="28" t="str">
        <x:v>OBJ0007</x:v>
      </x:c>
      <x:c r="G25" s="28" t="str">
        <x:v>YES</x:v>
      </x:c>
      <x:c r="H25" s="28" t="str">
        <x:v>ref</x:v>
      </x:c>
      <x:c r="I25" s="28" t="str">
        <x:v>QA generated</x:v>
      </x:c>
      <x:c r="J25" s="28" t="str"/>
      <x:c r="K25" s="28" t="str">
        <x:v>QA set.</x:v>
      </x:c>
      <x:c r="L25" s="28" t="str">
        <x:f>IFERROR(INDEX('02_OBJECTS'!$R$4:$R$500,MATCH(F25,'02_OBJECTS'!$A$4:$A$500,0)),"UNRESOLVED")</x:f>
        <x:v>AITEgpt-v0r0b1::06_QA!A3:L1000[dynamicx12,record]</x:v>
      </x:c>
    </x:row>
    <x:row r="26">
      <x:c r="A26" s="28" t="str">
        <x:v>PAR0023</x:v>
      </x:c>
      <x:c r="B26" s="28" t="str">
        <x:v>F007</x:v>
      </x:c>
      <x:c r="C26" s="28" t="str">
        <x:v>OUT</x:v>
      </x:c>
      <x:c r="D26" s="28" t="n">
        <x:v>1</x:v>
      </x:c>
      <x:c r="E26" s="28" t="str">
        <x:v>ambiguity_registry</x:v>
      </x:c>
      <x:c r="F26" s="28" t="str">
        <x:v>OBJ0008</x:v>
      </x:c>
      <x:c r="G26" s="28" t="str">
        <x:v>YES</x:v>
      </x:c>
      <x:c r="H26" s="28" t="str">
        <x:v>ref</x:v>
      </x:c>
      <x:c r="I26" s="28" t="str">
        <x:v>uncertainty explicit</x:v>
      </x:c>
      <x:c r="J26" s="28" t="str"/>
      <x:c r="K26" s="28" t="str">
        <x:v>Ambiguities.</x:v>
      </x:c>
      <x:c r="L26" s="28" t="str">
        <x:f>IFERROR(INDEX('02_OBJECTS'!$R$4:$R$500,MATCH(F26,'02_OBJECTS'!$A$4:$A$500,0)),"UNRESOLVED")</x:f>
        <x:v>AITEgpt-v0r0b1::07_AMBIGUITIES!A3:H500[dynamicx8,record]</x:v>
      </x:c>
    </x:row>
    <x:row r="27">
      <x:c r="A27" s="28" t="str">
        <x:v>PAR0024</x:v>
      </x:c>
      <x:c r="B27" s="28" t="str">
        <x:v>F007</x:v>
      </x:c>
      <x:c r="C27" s="28" t="str">
        <x:v>OUT</x:v>
      </x:c>
      <x:c r="D27" s="28" t="n">
        <x:v>2</x:v>
      </x:c>
      <x:c r="E27" s="28" t="str">
        <x:v>trace_map</x:v>
      </x:c>
      <x:c r="F27" s="28" t="str">
        <x:v>OBJ0009</x:v>
      </x:c>
      <x:c r="G27" s="28" t="str">
        <x:v>YES</x:v>
      </x:c>
      <x:c r="H27" s="28" t="str">
        <x:v>ref</x:v>
      </x:c>
      <x:c r="I27" s="28" t="str">
        <x:v>links resolvable</x:v>
      </x:c>
      <x:c r="J27" s="28" t="str"/>
      <x:c r="K27" s="28" t="str">
        <x:v>Trace map.</x:v>
      </x:c>
      <x:c r="L27" s="28" t="str">
        <x:f>IFERROR(INDEX('02_OBJECTS'!$R$4:$R$500,MATCH(F27,'02_OBJECTS'!$A$4:$A$500,0)),"UNRESOLVED")</x:f>
        <x:v>AITEgpt-v0r0b1::09_TRACE!A3:J1000[dynamicx10,record]</x:v>
      </x:c>
    </x:row>
    <x:row r="28">
      <x:c r="A28" s="28" t="str">
        <x:v>PAR0025</x:v>
      </x:c>
      <x:c r="B28" s="28" t="str">
        <x:v>F008</x:v>
      </x:c>
      <x:c r="C28" s="28" t="str">
        <x:v>IN</x:v>
      </x:c>
      <x:c r="D28" s="28" t="n">
        <x:v>1</x:v>
      </x:c>
      <x:c r="E28" s="28" t="str">
        <x:v>intent_registry</x:v>
      </x:c>
      <x:c r="F28" s="28" t="str">
        <x:v>OBJ0002</x:v>
      </x:c>
      <x:c r="G28" s="28" t="str">
        <x:v>YES</x:v>
      </x:c>
      <x:c r="H28" s="28" t="str">
        <x:v>ref</x:v>
      </x:c>
      <x:c r="I28" s="28" t="str">
        <x:v>human reviewed</x:v>
      </x:c>
      <x:c r="J28" s="28" t="str"/>
      <x:c r="K28" s="28" t="str">
        <x:v>Approval target.</x:v>
      </x:c>
      <x:c r="L28" s="28" t="str">
        <x:f>IFERROR(INDEX('02_OBJECTS'!$R$4:$R$500,MATCH(F28,'02_OBJECTS'!$A$4:$A$500,0)),"UNRESOLVED")</x:f>
        <x:v>AITEgpt-v0r0b1::08_INTENT!A3:J500[dynamicx10,record]</x:v>
      </x:c>
    </x:row>
    <x:row r="29">
      <x:c r="A29" s="28" t="str">
        <x:v>PAR0026</x:v>
      </x:c>
      <x:c r="B29" s="28" t="str">
        <x:v>F008</x:v>
      </x:c>
      <x:c r="C29" s="28" t="str">
        <x:v>IN</x:v>
      </x:c>
      <x:c r="D29" s="28" t="n">
        <x:v>2</x:v>
      </x:c>
      <x:c r="E29" s="28" t="str">
        <x:v>ambiguity_registry</x:v>
      </x:c>
      <x:c r="F29" s="28" t="str">
        <x:v>OBJ0008</x:v>
      </x:c>
      <x:c r="G29" s="28" t="str">
        <x:v>YES</x:v>
      </x:c>
      <x:c r="H29" s="28" t="str">
        <x:v>ref</x:v>
      </x:c>
      <x:c r="I29" s="28" t="str">
        <x:v>no OPEN ambiguity</x:v>
      </x:c>
      <x:c r="J29" s="28" t="str"/>
      <x:c r="K29" s="28" t="str">
        <x:v>Gate input.</x:v>
      </x:c>
      <x:c r="L29" s="28" t="str">
        <x:f>IFERROR(INDEX('02_OBJECTS'!$R$4:$R$500,MATCH(F29,'02_OBJECTS'!$A$4:$A$500,0)),"UNRESOLVED")</x:f>
        <x:v>AITEgpt-v0r0b1::07_AMBIGUITIES!A3:H500[dynamicx8,record]</x:v>
      </x:c>
    </x:row>
    <x:row r="30">
      <x:c r="A30" s="28" t="str">
        <x:v>PAR0027</x:v>
      </x:c>
      <x:c r="B30" s="28" t="str">
        <x:v>F008</x:v>
      </x:c>
      <x:c r="C30" s="28" t="str">
        <x:v>IN</x:v>
      </x:c>
      <x:c r="D30" s="28" t="n">
        <x:v>3</x:v>
      </x:c>
      <x:c r="E30" s="28" t="str">
        <x:v>qa_registry</x:v>
      </x:c>
      <x:c r="F30" s="28" t="str">
        <x:v>OBJ0007</x:v>
      </x:c>
      <x:c r="G30" s="28" t="str">
        <x:v>YES</x:v>
      </x:c>
      <x:c r="H30" s="28" t="str">
        <x:v>ref</x:v>
      </x:c>
      <x:c r="I30" s="28" t="str">
        <x:v>blocking QA approved</x:v>
      </x:c>
      <x:c r="J30" s="28" t="str"/>
      <x:c r="K30" s="28" t="str">
        <x:v>Gate input.</x:v>
      </x:c>
      <x:c r="L30" s="28" t="str">
        <x:f>IFERROR(INDEX('02_OBJECTS'!$R$4:$R$500,MATCH(F30,'02_OBJECTS'!$A$4:$A$500,0)),"UNRESOLVED")</x:f>
        <x:v>AITEgpt-v0r0b1::06_QA!A3:L1000[dynamicx12,record]</x:v>
      </x:c>
    </x:row>
    <x:row r="31">
      <x:c r="A31" s="28" t="str">
        <x:v>PAR0028</x:v>
      </x:c>
      <x:c r="B31" s="28" t="str">
        <x:v>F008</x:v>
      </x:c>
      <x:c r="C31" s="28" t="str">
        <x:v>OUT</x:v>
      </x:c>
      <x:c r="D31" s="28" t="n">
        <x:v>1</x:v>
      </x:c>
      <x:c r="E31" s="28" t="str">
        <x:v>committed_spec</x:v>
      </x:c>
      <x:c r="F31" s="28" t="str">
        <x:v>OBJ0010</x:v>
      </x:c>
      <x:c r="G31" s="28" t="str">
        <x:v>YES</x:v>
      </x:c>
      <x:c r="H31" s="28" t="str">
        <x:v>ref</x:v>
      </x:c>
      <x:c r="I31" s="28" t="str">
        <x:v>immutable snapshot</x:v>
      </x:c>
      <x:c r="J31" s="28" t="str"/>
      <x:c r="K31" s="28" t="str">
        <x:v>Committed spec.</x:v>
      </x:c>
      <x:c r="L31" s="28" t="str">
        <x:f>IFERROR(INDEX('02_OBJECTS'!$R$4:$R$500,MATCH(F31,'02_OBJECTS'!$A$4:$A$500,0)),"UNRESOLVED")</x:f>
        <x:v>AITEgpt-v0r0b1::00_CONTROL!A3:B30[28x2,record]</x:v>
      </x:c>
    </x:row>
    <x:row r="32">
      <x:c r="A32" s="28" t="str">
        <x:v>PAR0029</x:v>
      </x:c>
      <x:c r="B32" s="28" t="str">
        <x:v>F009</x:v>
      </x:c>
      <x:c r="C32" s="28" t="str">
        <x:v>IN</x:v>
      </x:c>
      <x:c r="D32" s="28" t="n">
        <x:v>1</x:v>
      </x:c>
      <x:c r="E32" s="28" t="str">
        <x:v>committed_spec</x:v>
      </x:c>
      <x:c r="F32" s="28" t="str">
        <x:v>OBJ0010</x:v>
      </x:c>
      <x:c r="G32" s="28" t="str">
        <x:v>YES</x:v>
      </x:c>
      <x:c r="H32" s="28" t="str">
        <x:v>ref</x:v>
      </x:c>
      <x:c r="I32" s="28" t="str">
        <x:v>gate OPEN</x:v>
      </x:c>
      <x:c r="J32" s="28" t="str"/>
      <x:c r="K32" s="28" t="str">
        <x:v>Only implementation source.</x:v>
      </x:c>
      <x:c r="L32" s="28" t="str">
        <x:f>IFERROR(INDEX('02_OBJECTS'!$R$4:$R$500,MATCH(F32,'02_OBJECTS'!$A$4:$A$500,0)),"UNRESOLVED")</x:f>
        <x:v>AITEgpt-v0r0b1::00_CONTROL!A3:B30[28x2,record]</x:v>
      </x:c>
    </x:row>
    <x:row r="33">
      <x:c r="A33" s="28" t="str">
        <x:v>PAR0030</x:v>
      </x:c>
      <x:c r="B33" s="28" t="str">
        <x:v>F009</x:v>
      </x:c>
      <x:c r="C33" s="28" t="str">
        <x:v>OUT</x:v>
      </x:c>
      <x:c r="D33" s="28" t="n">
        <x:v>1</x:v>
      </x:c>
      <x:c r="E33" s="28" t="str">
        <x:v>implementation_spec</x:v>
      </x:c>
      <x:c r="F33" s="28" t="str">
        <x:v>OBJ0011</x:v>
      </x:c>
      <x:c r="G33" s="28" t="str">
        <x:v>YES</x:v>
      </x:c>
      <x:c r="H33" s="28" t="str">
        <x:v>ref</x:v>
      </x:c>
      <x:c r="I33" s="28" t="str">
        <x:v>committed-only derivation</x:v>
      </x:c>
      <x:c r="J33" s="28" t="str"/>
      <x:c r="K33" s="28" t="str">
        <x:v>Implementation-ready spec.</x:v>
      </x:c>
      <x:c r="L33" s="28" t="str">
        <x:f>IFERROR(INDEX('02_OBJECTS'!$R$4:$R$500,MATCH(F33,'02_OBJECTS'!$A$4:$A$500,0)),"UNRESOLVED")</x:f>
        <x:v>AITEgpt-v0r0b1::09_TRACE!A3:J1000[dynamicx10,record]</x:v>
      </x:c>
    </x:row>
    <x:row r="34">
      <x:c r="A34" s="28" t="str">
        <x:v>PAR0031</x:v>
      </x:c>
      <x:c r="B34" s="28" t="str">
        <x:v>F010</x:v>
      </x:c>
      <x:c r="C34" s="28" t="str">
        <x:v>IN</x:v>
      </x:c>
      <x:c r="D34" s="28" t="n">
        <x:v>1</x:v>
      </x:c>
      <x:c r="E34" s="28" t="str">
        <x:v>implementation_spec</x:v>
      </x:c>
      <x:c r="F34" s="28" t="str">
        <x:v>OBJ0011</x:v>
      </x:c>
      <x:c r="G34" s="28" t="str">
        <x:v>YES</x:v>
      </x:c>
      <x:c r="H34" s="28" t="str">
        <x:v>ref</x:v>
      </x:c>
      <x:c r="I34" s="28" t="str">
        <x:v>implementation exists</x:v>
      </x:c>
      <x:c r="J34" s="28" t="str"/>
      <x:c r="K34" s="28" t="str">
        <x:v>Expected behavior.</x:v>
      </x:c>
      <x:c r="L34" s="28" t="str">
        <x:f>IFERROR(INDEX('02_OBJECTS'!$R$4:$R$500,MATCH(F34,'02_OBJECTS'!$A$4:$A$500,0)),"UNRESOLVED")</x:f>
        <x:v>AITEgpt-v0r0b1::09_TRACE!A3:J1000[dynamicx10,record]</x:v>
      </x:c>
    </x:row>
    <x:row r="35">
      <x:c r="A35" s="28" t="str">
        <x:v>PAR0032</x:v>
      </x:c>
      <x:c r="B35" s="28" t="str">
        <x:v>F010</x:v>
      </x:c>
      <x:c r="C35" s="28" t="str">
        <x:v>IN</x:v>
      </x:c>
      <x:c r="D35" s="28" t="n">
        <x:v>2</x:v>
      </x:c>
      <x:c r="E35" s="28" t="str">
        <x:v>implementation_evidence</x:v>
      </x:c>
      <x:c r="F35" s="28" t="str">
        <x:v>OBJ0012</x:v>
      </x:c>
      <x:c r="G35" s="28" t="str">
        <x:v>YES</x:v>
      </x:c>
      <x:c r="H35" s="28" t="str">
        <x:v>ref</x:v>
      </x:c>
      <x:c r="I35" s="28" t="str">
        <x:v>tests/traces captured</x:v>
      </x:c>
      <x:c r="J35" s="28" t="str"/>
      <x:c r="K35" s="28" t="str">
        <x:v>Observed behavior.</x:v>
      </x:c>
      <x:c r="L35" s="28" t="str">
        <x:f>IFERROR(INDEX('02_OBJECTS'!$R$4:$R$500,MATCH(F35,'02_OBJECTS'!$A$4:$A$500,0)),"UNRESOLVED")</x:f>
        <x:v>AITEgpt-v0r0b1::06_QA!A3:L1000[dynamicx12,record]</x:v>
      </x:c>
    </x:row>
    <x:row r="36">
      <x:c r="A36" s="28" t="str">
        <x:v>PAR0033</x:v>
      </x:c>
      <x:c r="B36" s="28" t="str">
        <x:v>F010</x:v>
      </x:c>
      <x:c r="C36" s="28" t="str">
        <x:v>OUT</x:v>
      </x:c>
      <x:c r="D36" s="28" t="n">
        <x:v>1</x:v>
      </x:c>
      <x:c r="E36" s="28" t="str">
        <x:v>release_decision</x:v>
      </x:c>
      <x:c r="F36" s="28" t="str">
        <x:v>OBJ0013</x:v>
      </x:c>
      <x:c r="G36" s="28" t="str">
        <x:v>YES</x:v>
      </x:c>
      <x:c r="H36" s="28" t="str">
        <x:v>ref</x:v>
      </x:c>
      <x:c r="I36" s="28" t="str">
        <x:v>blocking checks pass</x:v>
      </x:c>
      <x:c r="J36" s="28" t="str"/>
      <x:c r="K36" s="28" t="str">
        <x:v>OPEN/BLOCKED.</x:v>
      </x:c>
      <x:c r="L36" s="28" t="str">
        <x:f>IFERROR(INDEX('02_OBJECTS'!$R$4:$R$500,MATCH(F36,'02_OBJECTS'!$A$4:$A$500,0)),"UNRESOLVED")</x:f>
        <x:v>AITEgpt-v0r0b1::00_CONTROL!B18[1,enum]</x:v>
      </x:c>
    </x:row>
  </x:sheetData>
  <x:mergeCells>
    <x:mergeCell ref="A1:L1"/>
  </x:mergeCells>
  <x:dataValidations count="3">
    <x:dataValidation type="list" sqref="C4:C1000">
      <x:formula1>"IN,OUT,INOUT"</x:formula1>
    </x:dataValidation>
    <x:dataValidation type="list" sqref="G4:G1000">
      <x:formula1>"YES,NO"</x:formula1>
    </x:dataValidation>
    <x:dataValidation type="list" sqref="H4:H1000">
      <x:formula1>"value,ref"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58" hidden="0" customWidth="1"/>
    <x:col min="5" max="5" width="24" hidden="0" customWidth="1"/>
    <x:col min="6" max="6" width="26" hidden="0" customWidth="1"/>
    <x:col min="7" max="7" width="38" hidden="0" customWidth="1"/>
    <x:col min="8" max="8" width="14" hidden="0" customWidth="1"/>
    <x:col min="9" max="9" width="10" hidden="0" customWidth="1"/>
    <x:col min="10" max="10" width="10" hidden="0" customWidth="1"/>
    <x:col min="11" max="11" width="18" hidden="0" customWidth="1"/>
    <x:col min="12" max="12" width="14" hidden="0" customWidth="1"/>
    <x:col min="13" max="13" width="18" hidden="0" customWidth="1"/>
    <x:col min="14" max="14" width="12" hidden="0" customWidth="1"/>
    <x:col min="15" max="15" width="18" hidden="0" customWidth="1"/>
  </x:cols>
  <x:sheetData>
    <x:row r="1" ht="26" customHeight="1">
      <x:c r="A1" s="5" t="str">
        <x:v>Function Registry — Matlab-style explicit I/O + authority + gates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26" t="str">
        <x:v>Function_ID</x:v>
      </x:c>
      <x:c r="B3" s="26" t="str">
        <x:v>Function_Name</x:v>
      </x:c>
      <x:c r="C3" s="26" t="str">
        <x:v>Worksheet_Page</x:v>
      </x:c>
      <x:c r="D3" s="26" t="str">
        <x:v>Purpose</x:v>
      </x:c>
      <x:c r="E3" s="26" t="str">
        <x:v>State_In</x:v>
      </x:c>
      <x:c r="F3" s="26" t="str">
        <x:v>State_Out</x:v>
      </x:c>
      <x:c r="G3" s="26" t="str">
        <x:v>Side_Effects</x:v>
      </x:c>
      <x:c r="H3" s="26" t="str">
        <x:v>Authority</x:v>
      </x:c>
      <x:c r="I3" s="26" t="str">
        <x:v>Input_Count</x:v>
      </x:c>
      <x:c r="J3" s="26" t="str">
        <x:v>Output_Count</x:v>
      </x:c>
      <x:c r="K3" s="26" t="str">
        <x:v>Implementation_Status</x:v>
      </x:c>
      <x:c r="L3" s="26" t="str">
        <x:v>Human_Approved</x:v>
      </x:c>
      <x:c r="M3" s="26" t="str">
        <x:v>Blocking_Ambiguities</x:v>
      </x:c>
      <x:c r="N3" s="26" t="str">
        <x:v>QA_Status</x:v>
      </x:c>
      <x:c r="O3" s="26" t="str">
        <x:v>Gate_Result</x:v>
      </x:c>
    </x:row>
    <x:row r="4">
      <x:c r="A4" s="28" t="str">
        <x:v>F001</x:v>
      </x:c>
      <x:c r="B4" s="28" t="str">
        <x:v>CaptureIntent</x:v>
      </x:c>
      <x:c r="C4" s="28" t="str">
        <x:v>F001_CaptureIntent</x:v>
      </x:c>
      <x:c r="D4" s="28" t="str">
        <x:v>Split human request into atomic intent records without implementation.</x:v>
      </x:c>
      <x:c r="E4" s="28" t="str">
        <x:v>REQUEST_RECEIVED</x:v>
      </x:c>
      <x:c r="F4" s="28" t="str">
        <x:v>INTENT_CAPTURED</x:v>
      </x:c>
      <x:c r="G4" s="28" t="str">
        <x:v>writes IntentRegistry</x:v>
      </x:c>
      <x:c r="H4" s="28" t="str">
        <x:v>translation</x:v>
      </x:c>
      <x:c r="I4" s="28" t="n">
        <x:f>COUNTIFS('03_PARAMETERS'!$B$4:$B$1000,A4,'03_PARAMETERS'!$C$4:$C$1000,"IN")+COUNTIFS('03_PARAMETERS'!$B$4:$B$1000,A4,'03_PARAMETERS'!$C$4:$C$1000,"INOUT")</x:f>
        <x:v>1</x:v>
      </x:c>
      <x:c r="J4" s="28" t="n">
        <x:f>COUNTIFS('03_PARAMETERS'!$B$4:$B$1000,A4,'03_PARAMETERS'!$C$4:$C$1000,"OUT")+COUNTIFS('03_PARAMETERS'!$B$4:$B$1000,A4,'03_PARAMETERS'!$C$4:$C$1000,"INOUT")</x:f>
        <x:v>1</x:v>
      </x:c>
      <x:c r="K4" s="28" t="str">
        <x:v>NOT_STARTED</x:v>
      </x:c>
      <x:c r="L4" s="28" t="str">
        <x:v>NO</x:v>
      </x:c>
      <x:c r="M4" s="28" t="n">
        <x:f>COUNTIFS('07_AMBIGUITIES'!$D$4:$D$500,A4,'07_AMBIGUITIES'!$G$4:$G$500,"OPEN")</x:f>
        <x:v>0</x:v>
      </x:c>
      <x:c r="N4" s="28" t="str">
        <x:v>PASS</x:v>
      </x:c>
      <x:c r="O4" s="28" t="str">
        <x:f>IF(AND(L4="YES",M4=0,N4="PASS"),"IMPLEMENTABLE","BLOCKED")</x:f>
        <x:v>BLOCKED</x:v>
      </x:c>
    </x:row>
    <x:row r="5">
      <x:c r="A5" s="28" t="str">
        <x:v>F002</x:v>
      </x:c>
      <x:c r="B5" s="28" t="str">
        <x:v>NormalizeIntent</x:v>
      </x:c>
      <x:c r="C5" s="28" t="str">
        <x:v>F002_NormalizeIntent</x:v>
      </x:c>
      <x:c r="D5" s="28" t="str">
        <x:v>Translate each intent into code-shaped scope/state/authority/acceptance semantics.</x:v>
      </x:c>
      <x:c r="E5" s="28" t="str">
        <x:v>INTENT_CAPTURED</x:v>
      </x:c>
      <x:c r="F5" s="28" t="str">
        <x:v>INTENT_NORMALIZED</x:v>
      </x:c>
      <x:c r="G5" s="28" t="str">
        <x:v>updates IntentRegistry</x:v>
      </x:c>
      <x:c r="H5" s="28" t="str">
        <x:v>translation</x:v>
      </x:c>
      <x:c r="I5" s="28" t="n">
        <x:f>COUNTIFS('03_PARAMETERS'!$B$4:$B$1000,A5,'03_PARAMETERS'!$C$4:$C$1000,"IN")+COUNTIFS('03_PARAMETERS'!$B$4:$B$1000,A5,'03_PARAMETERS'!$C$4:$C$1000,"INOUT")</x:f>
        <x:v>1</x:v>
      </x:c>
      <x:c r="J5" s="28" t="n">
        <x:f>COUNTIFS('03_PARAMETERS'!$B$4:$B$1000,A5,'03_PARAMETERS'!$C$4:$C$1000,"OUT")+COUNTIFS('03_PARAMETERS'!$B$4:$B$1000,A5,'03_PARAMETERS'!$C$4:$C$1000,"INOUT")</x:f>
        <x:v>1</x:v>
      </x:c>
      <x:c r="K5" s="28" t="str">
        <x:v>NOT_STARTED</x:v>
      </x:c>
      <x:c r="L5" s="28" t="str">
        <x:v>NO</x:v>
      </x:c>
      <x:c r="M5" s="28" t="n">
        <x:f>COUNTIFS('07_AMBIGUITIES'!$D$4:$D$500,A5,'07_AMBIGUITIES'!$G$4:$G$500,"OPEN")</x:f>
        <x:v>0</x:v>
      </x:c>
      <x:c r="N5" s="28" t="str">
        <x:v>PASS</x:v>
      </x:c>
      <x:c r="O5" s="28" t="str">
        <x:f>IF(AND(L5="YES",M5=0,N5="PASS"),"IMPLEMENTABLE","BLOCKED")</x:f>
        <x:v>BLOCKED</x:v>
      </x:c>
    </x:row>
    <x:row r="6">
      <x:c r="A6" s="28" t="str">
        <x:v>F003</x:v>
      </x:c>
      <x:c r="B6" s="28" t="str">
        <x:v>DeclareObjects</x:v>
      </x:c>
      <x:c r="C6" s="28" t="str">
        <x:v>F003_DeclareObjects</x:v>
      </x:c>
      <x:c r="D6" s="28" t="str">
        <x:v>Create explicit typed/addressed objects for referenced data.</x:v>
      </x:c>
      <x:c r="E6" s="28" t="str">
        <x:v>INTENT_NORMALIZED</x:v>
      </x:c>
      <x:c r="F6" s="28" t="str">
        <x:v>OBJECTS_DECLARED</x:v>
      </x:c>
      <x:c r="G6" s="28" t="str">
        <x:v>writes ObjectRegistry</x:v>
      </x:c>
      <x:c r="H6" s="28" t="str">
        <x:v>translation</x:v>
      </x:c>
      <x:c r="I6" s="28" t="n">
        <x:f>COUNTIFS('03_PARAMETERS'!$B$4:$B$1000,A6,'03_PARAMETERS'!$C$4:$C$1000,"IN")+COUNTIFS('03_PARAMETERS'!$B$4:$B$1000,A6,'03_PARAMETERS'!$C$4:$C$1000,"INOUT")</x:f>
        <x:v>1</x:v>
      </x:c>
      <x:c r="J6" s="28" t="n">
        <x:f>COUNTIFS('03_PARAMETERS'!$B$4:$B$1000,A6,'03_PARAMETERS'!$C$4:$C$1000,"OUT")+COUNTIFS('03_PARAMETERS'!$B$4:$B$1000,A6,'03_PARAMETERS'!$C$4:$C$1000,"INOUT")</x:f>
        <x:v>1</x:v>
      </x:c>
      <x:c r="K6" s="28" t="str">
        <x:v>NOT_STARTED</x:v>
      </x:c>
      <x:c r="L6" s="28" t="str">
        <x:v>NO</x:v>
      </x:c>
      <x:c r="M6" s="28" t="n">
        <x:f>COUNTIFS('07_AMBIGUITIES'!$D$4:$D$500,A6,'07_AMBIGUITIES'!$G$4:$G$500,"OPEN")</x:f>
        <x:v>0</x:v>
      </x:c>
      <x:c r="N6" s="28" t="str">
        <x:v>PASS</x:v>
      </x:c>
      <x:c r="O6" s="28" t="str">
        <x:f>IF(AND(L6="YES",M6=0,N6="PASS"),"IMPLEMENTABLE","BLOCKED")</x:f>
        <x:v>BLOCKED</x:v>
      </x:c>
    </x:row>
    <x:row r="7">
      <x:c r="A7" s="28" t="str">
        <x:v>F004</x:v>
      </x:c>
      <x:c r="B7" s="28" t="str">
        <x:v>BindFunctionIO</x:v>
      </x:c>
      <x:c r="C7" s="28" t="str">
        <x:v>F004_BindFunctionIO</x:v>
      </x:c>
      <x:c r="D7" s="28" t="str">
        <x:v>Bind every function I/O to Param_ID + Object_ID.</x:v>
      </x:c>
      <x:c r="E7" s="28" t="str">
        <x:v>OBJECTS_DECLARED</x:v>
      </x:c>
      <x:c r="F7" s="28" t="str">
        <x:v>IO_BOUND</x:v>
      </x:c>
      <x:c r="G7" s="28" t="str">
        <x:v>writes ParameterRegistry</x:v>
      </x:c>
      <x:c r="H7" s="28" t="str">
        <x:v>translation</x:v>
      </x:c>
      <x:c r="I7" s="28" t="n">
        <x:f>COUNTIFS('03_PARAMETERS'!$B$4:$B$1000,A7,'03_PARAMETERS'!$C$4:$C$1000,"IN")+COUNTIFS('03_PARAMETERS'!$B$4:$B$1000,A7,'03_PARAMETERS'!$C$4:$C$1000,"INOUT")</x:f>
        <x:v>3</x:v>
      </x:c>
      <x:c r="J7" s="28" t="n">
        <x:f>COUNTIFS('03_PARAMETERS'!$B$4:$B$1000,A7,'03_PARAMETERS'!$C$4:$C$1000,"OUT")+COUNTIFS('03_PARAMETERS'!$B$4:$B$1000,A7,'03_PARAMETERS'!$C$4:$C$1000,"INOUT")</x:f>
        <x:v>1</x:v>
      </x:c>
      <x:c r="K7" s="28" t="str">
        <x:v>NOT_STARTED</x:v>
      </x:c>
      <x:c r="L7" s="28" t="str">
        <x:v>NO</x:v>
      </x:c>
      <x:c r="M7" s="28" t="n">
        <x:f>COUNTIFS('07_AMBIGUITIES'!$D$4:$D$500,A7,'07_AMBIGUITIES'!$G$4:$G$500,"OPEN")</x:f>
        <x:v>0</x:v>
      </x:c>
      <x:c r="N7" s="28" t="str">
        <x:v>PASS</x:v>
      </x:c>
      <x:c r="O7" s="28" t="str">
        <x:f>IF(AND(L7="YES",M7=0,N7="PASS"),"IMPLEMENTABLE","BLOCKED")</x:f>
        <x:v>BLOCKED</x:v>
      </x:c>
    </x:row>
    <x:row r="8">
      <x:c r="A8" s="28" t="str">
        <x:v>F005</x:v>
      </x:c>
      <x:c r="B8" s="28" t="str">
        <x:v>DeclareTransitions</x:v>
      </x:c>
      <x:c r="C8" s="28" t="str">
        <x:v>F005_DeclareTransitions</x:v>
      </x:c>
      <x:c r="D8" s="28" t="str">
        <x:v>Declare state transitions with exact event, guard, scope and failure semantics.</x:v>
      </x:c>
      <x:c r="E8" s="28" t="str">
        <x:v>IO_BOUND</x:v>
      </x:c>
      <x:c r="F8" s="28" t="str">
        <x:v>TRANSITIONS_DECLARED</x:v>
      </x:c>
      <x:c r="G8" s="28" t="str">
        <x:v>writes TransitionRegistry</x:v>
      </x:c>
      <x:c r="H8" s="28" t="str">
        <x:v>translation</x:v>
      </x:c>
      <x:c r="I8" s="28" t="n">
        <x:f>COUNTIFS('03_PARAMETERS'!$B$4:$B$1000,A8,'03_PARAMETERS'!$C$4:$C$1000,"IN")+COUNTIFS('03_PARAMETERS'!$B$4:$B$1000,A8,'03_PARAMETERS'!$C$4:$C$1000,"INOUT")</x:f>
        <x:v>2</x:v>
      </x:c>
      <x:c r="J8" s="28" t="n">
        <x:f>COUNTIFS('03_PARAMETERS'!$B$4:$B$1000,A8,'03_PARAMETERS'!$C$4:$C$1000,"OUT")+COUNTIFS('03_PARAMETERS'!$B$4:$B$1000,A8,'03_PARAMETERS'!$C$4:$C$1000,"INOUT")</x:f>
        <x:v>1</x:v>
      </x:c>
      <x:c r="K8" s="28" t="str">
        <x:v>NOT_STARTED</x:v>
      </x:c>
      <x:c r="L8" s="28" t="str">
        <x:v>NO</x:v>
      </x:c>
      <x:c r="M8" s="28" t="n">
        <x:f>COUNTIFS('07_AMBIGUITIES'!$D$4:$D$500,A8,'07_AMBIGUITIES'!$G$4:$G$500,"OPEN")</x:f>
        <x:v>0</x:v>
      </x:c>
      <x:c r="N8" s="28" t="str">
        <x:v>PASS</x:v>
      </x:c>
      <x:c r="O8" s="28" t="str">
        <x:f>IF(AND(L8="YES",M8=0,N8="PASS"),"IMPLEMENTABLE","BLOCKED")</x:f>
        <x:v>BLOCKED</x:v>
      </x:c>
    </x:row>
    <x:row r="9">
      <x:c r="A9" s="28" t="str">
        <x:v>F006</x:v>
      </x:c>
      <x:c r="B9" s="28" t="str">
        <x:v>GenerateQA</x:v>
      </x:c>
      <x:c r="C9" s="28" t="str">
        <x:v>F006_GenerateQA</x:v>
      </x:c>
      <x:c r="D9" s="28" t="str">
        <x:v>Convert acceptance semantics into tests before implementation.</x:v>
      </x:c>
      <x:c r="E9" s="28" t="str">
        <x:v>TRANSITIONS_DECLARED</x:v>
      </x:c>
      <x:c r="F9" s="28" t="str">
        <x:v>QA_DECLARED</x:v>
      </x:c>
      <x:c r="G9" s="28" t="str">
        <x:v>writes QARegistry</x:v>
      </x:c>
      <x:c r="H9" s="28" t="str">
        <x:v>translation</x:v>
      </x:c>
      <x:c r="I9" s="28" t="n">
        <x:f>COUNTIFS('03_PARAMETERS'!$B$4:$B$1000,A9,'03_PARAMETERS'!$C$4:$C$1000,"IN")+COUNTIFS('03_PARAMETERS'!$B$4:$B$1000,A9,'03_PARAMETERS'!$C$4:$C$1000,"INOUT")</x:f>
        <x:v>3</x:v>
      </x:c>
      <x:c r="J9" s="28" t="n">
        <x:f>COUNTIFS('03_PARAMETERS'!$B$4:$B$1000,A9,'03_PARAMETERS'!$C$4:$C$1000,"OUT")+COUNTIFS('03_PARAMETERS'!$B$4:$B$1000,A9,'03_PARAMETERS'!$C$4:$C$1000,"INOUT")</x:f>
        <x:v>1</x:v>
      </x:c>
      <x:c r="K9" s="28" t="str">
        <x:v>NOT_STARTED</x:v>
      </x:c>
      <x:c r="L9" s="28" t="str">
        <x:v>NO</x:v>
      </x:c>
      <x:c r="M9" s="28" t="n">
        <x:f>COUNTIFS('07_AMBIGUITIES'!$D$4:$D$500,A9,'07_AMBIGUITIES'!$G$4:$G$500,"OPEN")</x:f>
        <x:v>0</x:v>
      </x:c>
      <x:c r="N9" s="28" t="str">
        <x:v>PASS</x:v>
      </x:c>
      <x:c r="O9" s="28" t="str">
        <x:f>IF(AND(L9="YES",M9=0,N9="PASS"),"IMPLEMENTABLE","BLOCKED")</x:f>
        <x:v>BLOCKED</x:v>
      </x:c>
    </x:row>
    <x:row r="10">
      <x:c r="A10" s="28" t="str">
        <x:v>F007</x:v>
      </x:c>
      <x:c r="B10" s="28" t="str">
        <x:v>ValidateTranslation</x:v>
      </x:c>
      <x:c r="C10" s="28" t="str">
        <x:v>F007_ValidateTranslation</x:v>
      </x:c>
      <x:c r="D10" s="28" t="str">
        <x:v>Resolve references, detect scope/type/state ambiguity and build traceability.</x:v>
      </x:c>
      <x:c r="E10" s="28" t="str">
        <x:v>QA_DECLARED</x:v>
      </x:c>
      <x:c r="F10" s="28" t="str">
        <x:v>TRANSLATION_VALIDATED</x:v>
      </x:c>
      <x:c r="G10" s="28" t="str">
        <x:v>writes AmbiguityRegistry + TraceMap</x:v>
      </x:c>
      <x:c r="H10" s="28" t="str">
        <x:v>validation</x:v>
      </x:c>
      <x:c r="I10" s="28" t="n">
        <x:f>COUNTIFS('03_PARAMETERS'!$B$4:$B$1000,A10,'03_PARAMETERS'!$C$4:$C$1000,"IN")+COUNTIFS('03_PARAMETERS'!$B$4:$B$1000,A10,'03_PARAMETERS'!$C$4:$C$1000,"INOUT")</x:f>
        <x:v>5</x:v>
      </x:c>
      <x:c r="J10" s="28" t="n">
        <x:f>COUNTIFS('03_PARAMETERS'!$B$4:$B$1000,A10,'03_PARAMETERS'!$C$4:$C$1000,"OUT")+COUNTIFS('03_PARAMETERS'!$B$4:$B$1000,A10,'03_PARAMETERS'!$C$4:$C$1000,"INOUT")</x:f>
        <x:v>2</x:v>
      </x:c>
      <x:c r="K10" s="28" t="str">
        <x:v>NOT_STARTED</x:v>
      </x:c>
      <x:c r="L10" s="28" t="str">
        <x:v>NO</x:v>
      </x:c>
      <x:c r="M10" s="28" t="n">
        <x:f>COUNTIFS('07_AMBIGUITIES'!$D$4:$D$500,A10,'07_AMBIGUITIES'!$G$4:$G$500,"OPEN")</x:f>
        <x:v>0</x:v>
      </x:c>
      <x:c r="N10" s="28" t="str">
        <x:v>PASS</x:v>
      </x:c>
      <x:c r="O10" s="28" t="str">
        <x:f>IF(AND(L10="YES",M10=0,N10="PASS"),"IMPLEMENTABLE","BLOCKED")</x:f>
        <x:v>BLOCKED</x:v>
      </x:c>
    </x:row>
    <x:row r="11">
      <x:c r="A11" s="28" t="str">
        <x:v>F008</x:v>
      </x:c>
      <x:c r="B11" s="28" t="str">
        <x:v>HumanCommit</x:v>
      </x:c>
      <x:c r="C11" s="28" t="str">
        <x:v>F008_HumanCommit</x:v>
      </x:c>
      <x:c r="D11" s="28" t="str">
        <x:v>Human commit gate after formal translation review.</x:v>
      </x:c>
      <x:c r="E11" s="28" t="str">
        <x:v>TRANSLATION_VALIDATED</x:v>
      </x:c>
      <x:c r="F11" s="28" t="str">
        <x:v>SPEC_COMMITTED</x:v>
      </x:c>
      <x:c r="G11" s="28" t="str">
        <x:v>writes committed snapshot</x:v>
      </x:c>
      <x:c r="H11" s="28" t="str">
        <x:v>human</x:v>
      </x:c>
      <x:c r="I11" s="28" t="n">
        <x:f>COUNTIFS('03_PARAMETERS'!$B$4:$B$1000,A11,'03_PARAMETERS'!$C$4:$C$1000,"IN")+COUNTIFS('03_PARAMETERS'!$B$4:$B$1000,A11,'03_PARAMETERS'!$C$4:$C$1000,"INOUT")</x:f>
        <x:v>3</x:v>
      </x:c>
      <x:c r="J11" s="28" t="n">
        <x:f>COUNTIFS('03_PARAMETERS'!$B$4:$B$1000,A11,'03_PARAMETERS'!$C$4:$C$1000,"OUT")+COUNTIFS('03_PARAMETERS'!$B$4:$B$1000,A11,'03_PARAMETERS'!$C$4:$C$1000,"INOUT")</x:f>
        <x:v>1</x:v>
      </x:c>
      <x:c r="K11" s="28" t="str">
        <x:v>NOT_STARTED</x:v>
      </x:c>
      <x:c r="L11" s="28" t="str">
        <x:v>NO</x:v>
      </x:c>
      <x:c r="M11" s="28" t="n">
        <x:f>COUNTIFS('07_AMBIGUITIES'!$D$4:$D$500,A11,'07_AMBIGUITIES'!$G$4:$G$500,"OPEN")</x:f>
        <x:v>0</x:v>
      </x:c>
      <x:c r="N11" s="28" t="str">
        <x:v>PASS</x:v>
      </x:c>
      <x:c r="O11" s="28" t="str">
        <x:f>IF(AND(L11="YES",M11=0,N11="PASS"),"IMPLEMENTABLE","BLOCKED")</x:f>
        <x:v>BLOCKED</x:v>
      </x:c>
    </x:row>
    <x:row r="12">
      <x:c r="A12" s="28" t="str">
        <x:v>F009</x:v>
      </x:c>
      <x:c r="B12" s="28" t="str">
        <x:v>EmitImplementationSpec</x:v>
      </x:c>
      <x:c r="C12" s="28" t="str">
        <x:v>F009_EmitSpec</x:v>
      </x:c>
      <x:c r="D12" s="28" t="str">
        <x:v>Emit implementation instructions only from committed formal records.</x:v>
      </x:c>
      <x:c r="E12" s="28" t="str">
        <x:v>SPEC_COMMITTED</x:v>
      </x:c>
      <x:c r="F12" s="28" t="str">
        <x:v>IMPLEMENTATION_AUTHORIZED</x:v>
      </x:c>
      <x:c r="G12" s="28" t="str">
        <x:v>writes ImplementationSpec</x:v>
      </x:c>
      <x:c r="H12" s="28" t="str">
        <x:v>compiler</x:v>
      </x:c>
      <x:c r="I12" s="28" t="n">
        <x:f>COUNTIFS('03_PARAMETERS'!$B$4:$B$1000,A12,'03_PARAMETERS'!$C$4:$C$1000,"IN")+COUNTIFS('03_PARAMETERS'!$B$4:$B$1000,A12,'03_PARAMETERS'!$C$4:$C$1000,"INOUT")</x:f>
        <x:v>1</x:v>
      </x:c>
      <x:c r="J12" s="28" t="n">
        <x:f>COUNTIFS('03_PARAMETERS'!$B$4:$B$1000,A12,'03_PARAMETERS'!$C$4:$C$1000,"OUT")+COUNTIFS('03_PARAMETERS'!$B$4:$B$1000,A12,'03_PARAMETERS'!$C$4:$C$1000,"INOUT")</x:f>
        <x:v>1</x:v>
      </x:c>
      <x:c r="K12" s="28" t="str">
        <x:v>NOT_STARTED</x:v>
      </x:c>
      <x:c r="L12" s="28" t="str">
        <x:v>NO</x:v>
      </x:c>
      <x:c r="M12" s="28" t="n">
        <x:f>COUNTIFS('07_AMBIGUITIES'!$D$4:$D$500,A12,'07_AMBIGUITIES'!$G$4:$G$500,"OPEN")</x:f>
        <x:v>0</x:v>
      </x:c>
      <x:c r="N12" s="28" t="str">
        <x:v>PASS</x:v>
      </x:c>
      <x:c r="O12" s="28" t="str">
        <x:f>IF(AND(L12="YES",M12=0,N12="PASS"),"IMPLEMENTABLE","BLOCKED")</x:f>
        <x:v>BLOCKED</x:v>
      </x:c>
    </x:row>
    <x:row r="13">
      <x:c r="A13" s="28" t="str">
        <x:v>F010</x:v>
      </x:c>
      <x:c r="B13" s="28" t="str">
        <x:v>VerifyImplementation</x:v>
      </x:c>
      <x:c r="C13" s="28" t="str">
        <x:v>F010_VerifyImpl</x:v>
      </x:c>
      <x:c r="D13" s="28" t="str">
        <x:v>Compare implementation evidence against committed QA and transitions.</x:v>
      </x:c>
      <x:c r="E13" s="28" t="str">
        <x:v>IMPLEMENTATION_AUTHORIZED</x:v>
      </x:c>
      <x:c r="F13" s="28" t="str">
        <x:v>VERIFIED_OR_BLOCKED</x:v>
      </x:c>
      <x:c r="G13" s="28" t="str">
        <x:v>writes ReleaseDecision</x:v>
      </x:c>
      <x:c r="H13" s="28" t="str">
        <x:v>verification</x:v>
      </x:c>
      <x:c r="I13" s="28" t="n">
        <x:f>COUNTIFS('03_PARAMETERS'!$B$4:$B$1000,A13,'03_PARAMETERS'!$C$4:$C$1000,"IN")+COUNTIFS('03_PARAMETERS'!$B$4:$B$1000,A13,'03_PARAMETERS'!$C$4:$C$1000,"INOUT")</x:f>
        <x:v>2</x:v>
      </x:c>
      <x:c r="J13" s="28" t="n">
        <x:f>COUNTIFS('03_PARAMETERS'!$B$4:$B$1000,A13,'03_PARAMETERS'!$C$4:$C$1000,"OUT")+COUNTIFS('03_PARAMETERS'!$B$4:$B$1000,A13,'03_PARAMETERS'!$C$4:$C$1000,"INOUT")</x:f>
        <x:v>1</x:v>
      </x:c>
      <x:c r="K13" s="28" t="str">
        <x:v>NOT_STARTED</x:v>
      </x:c>
      <x:c r="L13" s="28" t="str">
        <x:v>NO</x:v>
      </x:c>
      <x:c r="M13" s="28" t="n">
        <x:f>COUNTIFS('07_AMBIGUITIES'!$D$4:$D$500,A13,'07_AMBIGUITIES'!$G$4:$G$500,"OPEN")</x:f>
        <x:v>0</x:v>
      </x:c>
      <x:c r="N13" s="28" t="str">
        <x:v>PASS</x:v>
      </x:c>
      <x:c r="O13" s="28" t="str">
        <x:f>IF(AND(L13="YES",M13=0,N13="PASS"),"IMPLEMENTABLE","BLOCKED")</x:f>
        <x:v>BLOCKED</x:v>
      </x:c>
    </x:row>
  </x:sheetData>
  <x:mergeCells>
    <x:mergeCell ref="A1:O1"/>
  </x:mergeCells>
  <x:conditionalFormatting sqref="O4:O500">
    <x:cfRule type="expression" dxfId="3" priority="1">
      <x:formula>O4="BLOCKED"</x:formula>
    </x:cfRule>
  </x:conditionalFormatting>
  <x:dataValidations count="3">
    <x:dataValidation type="list" sqref="K4:K500">
      <x:formula1>"NOT_STARTED,IMPLEMENTED,VERIFIED"</x:formula1>
    </x:dataValidation>
    <x:dataValidation type="list" sqref="L4:L500">
      <x:formula1>"YES,NO"</x:formula1>
    </x:dataValidation>
    <x:dataValidation type="list" sqref="N4:N500">
      <x:formula1>"PASS,FAIL,NOT_RUN"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40" hidden="0" customWidth="1"/>
    <x:col min="6" max="6" width="52" hidden="0" customWidth="1"/>
    <x:col min="7" max="7" width="26" hidden="0" customWidth="1"/>
    <x:col min="8" max="8" width="30" hidden="0" customWidth="1"/>
    <x:col min="9" max="9" width="40" hidden="0" customWidth="1"/>
    <x:col min="10" max="10" width="10" hidden="0" customWidth="1"/>
    <x:col min="11" max="11" width="14" hidden="0" customWidth="1"/>
    <x:col min="12" max="12" width="12" hidden="0" customWidth="1"/>
  </x:cols>
  <x:sheetData>
    <x:row r="1" ht="26" customHeight="1">
      <x:c r="A1" s="5" t="str">
        <x:v>Transition Registry — state/event/guard/action/scope are explicit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Transition_ID</x:v>
      </x:c>
      <x:c r="B3" s="26" t="str">
        <x:v>Function_ID</x:v>
      </x:c>
      <x:c r="C3" s="26" t="str">
        <x:v>From_State</x:v>
      </x:c>
      <x:c r="D3" s="26" t="str">
        <x:v>Event</x:v>
      </x:c>
      <x:c r="E3" s="26" t="str">
        <x:v>Guard</x:v>
      </x:c>
      <x:c r="F3" s="26" t="str">
        <x:v>Action</x:v>
      </x:c>
      <x:c r="G3" s="26" t="str">
        <x:v>To_State</x:v>
      </x:c>
      <x:c r="H3" s="26" t="str">
        <x:v>Scope</x:v>
      </x:c>
      <x:c r="I3" s="26" t="str">
        <x:v>Failure_Action</x:v>
      </x:c>
      <x:c r="J3" s="26" t="str">
        <x:v>Retry</x:v>
      </x:c>
      <x:c r="K3" s="26" t="str">
        <x:v>Authority</x:v>
      </x:c>
      <x:c r="L3" s="26" t="str">
        <x:v>Test_ID</x:v>
      </x:c>
    </x:row>
    <x:row r="4">
      <x:c r="A4" s="28" t="str">
        <x:v>TR001</x:v>
      </x:c>
      <x:c r="B4" s="28" t="str">
        <x:v>F001</x:v>
      </x:c>
      <x:c r="C4" s="28" t="str">
        <x:v>REQUEST_RECEIVED</x:v>
      </x:c>
      <x:c r="D4" s="28" t="str">
        <x:v>capture()</x:v>
      </x:c>
      <x:c r="E4" s="28" t="str">
        <x:v>prose_request != empty</x:v>
      </x:c>
      <x:c r="F4" s="28" t="str">
        <x:v>create atomic Intent_ID rows</x:v>
      </x:c>
      <x:c r="G4" s="28" t="str">
        <x:v>INTENT_CAPTURED</x:v>
      </x:c>
      <x:c r="H4" s="28" t="str">
        <x:v>project-request</x:v>
      </x:c>
      <x:c r="I4" s="28" t="str">
        <x:v>BLOCK; leave request uncommitted</x:v>
      </x:c>
      <x:c r="J4" s="28" t="str">
        <x:v>NO</x:v>
      </x:c>
      <x:c r="K4" s="28" t="str">
        <x:v>translation</x:v>
      </x:c>
      <x:c r="L4" s="28" t="str">
        <x:v>QA001</x:v>
      </x:c>
    </x:row>
    <x:row r="5">
      <x:c r="A5" s="28" t="str">
        <x:v>TR002</x:v>
      </x:c>
      <x:c r="B5" s="28" t="str">
        <x:v>F002</x:v>
      </x:c>
      <x:c r="C5" s="28" t="str">
        <x:v>INTENT_CAPTURED</x:v>
      </x:c>
      <x:c r="D5" s="28" t="str">
        <x:v>normalize()</x:v>
      </x:c>
      <x:c r="E5" s="28" t="str">
        <x:v>captured intents addressable</x:v>
      </x:c>
      <x:c r="F5" s="28" t="str">
        <x:v>populate scope/state/authority/acceptance</x:v>
      </x:c>
      <x:c r="G5" s="28" t="str">
        <x:v>INTENT_NORMALIZED</x:v>
      </x:c>
      <x:c r="H5" s="28" t="str">
        <x:v>intent</x:v>
      </x:c>
      <x:c r="I5" s="28" t="str">
        <x:v>create ambiguity; do not guess</x:v>
      </x:c>
      <x:c r="J5" s="28" t="str">
        <x:v>YES</x:v>
      </x:c>
      <x:c r="K5" s="28" t="str">
        <x:v>translation</x:v>
      </x:c>
      <x:c r="L5" s="28" t="str">
        <x:v>QA002</x:v>
      </x:c>
    </x:row>
    <x:row r="6">
      <x:c r="A6" s="28" t="str">
        <x:v>TR003</x:v>
      </x:c>
      <x:c r="B6" s="28" t="str">
        <x:v>F003</x:v>
      </x:c>
      <x:c r="C6" s="28" t="str">
        <x:v>INTENT_NORMALIZED</x:v>
      </x:c>
      <x:c r="D6" s="28" t="str">
        <x:v>declare_objects()</x:v>
      </x:c>
      <x:c r="E6" s="28" t="str">
        <x:v>data concepts identified</x:v>
      </x:c>
      <x:c r="F6" s="28" t="str">
        <x:v>create typed Object_ID entries</x:v>
      </x:c>
      <x:c r="G6" s="28" t="str">
        <x:v>OBJECTS_DECLARED</x:v>
      </x:c>
      <x:c r="H6" s="28" t="str">
        <x:v>object</x:v>
      </x:c>
      <x:c r="I6" s="28" t="str">
        <x:v>mark unresolved object</x:v>
      </x:c>
      <x:c r="J6" s="28" t="str">
        <x:v>YES</x:v>
      </x:c>
      <x:c r="K6" s="28" t="str">
        <x:v>translation</x:v>
      </x:c>
      <x:c r="L6" s="28" t="str">
        <x:v>QA003</x:v>
      </x:c>
    </x:row>
    <x:row r="7">
      <x:c r="A7" s="28" t="str">
        <x:v>TR004</x:v>
      </x:c>
      <x:c r="B7" s="28" t="str">
        <x:v>F004</x:v>
      </x:c>
      <x:c r="C7" s="28" t="str">
        <x:v>OBJECTS_DECLARED</x:v>
      </x:c>
      <x:c r="D7" s="28" t="str">
        <x:v>bind_io()</x:v>
      </x:c>
      <x:c r="E7" s="28" t="str">
        <x:v>Function_ID + Object_ID exist</x:v>
      </x:c>
      <x:c r="F7" s="28" t="str">
        <x:v>create Param_ID bindings</x:v>
      </x:c>
      <x:c r="G7" s="28" t="str">
        <x:v>IO_BOUND</x:v>
      </x:c>
      <x:c r="H7" s="28" t="str">
        <x:v>parameter</x:v>
      </x:c>
      <x:c r="I7" s="28" t="str">
        <x:v>block unresolved binding</x:v>
      </x:c>
      <x:c r="J7" s="28" t="str">
        <x:v>YES</x:v>
      </x:c>
      <x:c r="K7" s="28" t="str">
        <x:v>translation</x:v>
      </x:c>
      <x:c r="L7" s="28" t="str">
        <x:v>QA004</x:v>
      </x:c>
    </x:row>
    <x:row r="8">
      <x:c r="A8" s="28" t="str">
        <x:v>TR005</x:v>
      </x:c>
      <x:c r="B8" s="28" t="str">
        <x:v>F005</x:v>
      </x:c>
      <x:c r="C8" s="28" t="str">
        <x:v>IO_BOUND</x:v>
      </x:c>
      <x:c r="D8" s="28" t="str">
        <x:v>declare_transitions()</x:v>
      </x:c>
      <x:c r="E8" s="28" t="str">
        <x:v>stateful behavior exists</x:v>
      </x:c>
      <x:c r="F8" s="28" t="str">
        <x:v>create explicit transition rows</x:v>
      </x:c>
      <x:c r="G8" s="28" t="str">
        <x:v>TRANSITIONS_DECLARED</x:v>
      </x:c>
      <x:c r="H8" s="28" t="str">
        <x:v>declared object/function scope</x:v>
      </x:c>
      <x:c r="I8" s="28" t="str">
        <x:v>block scope promotion</x:v>
      </x:c>
      <x:c r="J8" s="28" t="str">
        <x:v>YES</x:v>
      </x:c>
      <x:c r="K8" s="28" t="str">
        <x:v>translation</x:v>
      </x:c>
      <x:c r="L8" s="28" t="str">
        <x:v>QA005</x:v>
      </x:c>
    </x:row>
    <x:row r="9">
      <x:c r="A9" s="28" t="str">
        <x:v>TR006</x:v>
      </x:c>
      <x:c r="B9" s="28" t="str">
        <x:v>F006</x:v>
      </x:c>
      <x:c r="C9" s="28" t="str">
        <x:v>TRANSITIONS_DECLARED</x:v>
      </x:c>
      <x:c r="D9" s="28" t="str">
        <x:v>generate_qa()</x:v>
      </x:c>
      <x:c r="E9" s="28" t="str">
        <x:v>acceptance semantics present</x:v>
      </x:c>
      <x:c r="F9" s="28" t="str">
        <x:v>create blocking tests</x:v>
      </x:c>
      <x:c r="G9" s="28" t="str">
        <x:v>QA_DECLARED</x:v>
      </x:c>
      <x:c r="H9" s="28" t="str">
        <x:v>requirement/function</x:v>
      </x:c>
      <x:c r="I9" s="28" t="str">
        <x:v>block missing test</x:v>
      </x:c>
      <x:c r="J9" s="28" t="str">
        <x:v>YES</x:v>
      </x:c>
      <x:c r="K9" s="28" t="str">
        <x:v>translation</x:v>
      </x:c>
      <x:c r="L9" s="28" t="str">
        <x:v>QA006</x:v>
      </x:c>
    </x:row>
    <x:row r="10">
      <x:c r="A10" s="28" t="str">
        <x:v>TR007</x:v>
      </x:c>
      <x:c r="B10" s="28" t="str">
        <x:v>F007</x:v>
      </x:c>
      <x:c r="C10" s="28" t="str">
        <x:v>QA_DECLARED</x:v>
      </x:c>
      <x:c r="D10" s="28" t="str">
        <x:v>validate_translation()</x:v>
      </x:c>
      <x:c r="E10" s="28" t="str">
        <x:v>registries readable</x:v>
      </x:c>
      <x:c r="F10" s="28" t="str">
        <x:v>resolve refs + create ambiguity/trace rows</x:v>
      </x:c>
      <x:c r="G10" s="28" t="str">
        <x:v>TRANSLATION_VALIDATED</x:v>
      </x:c>
      <x:c r="H10" s="28" t="str">
        <x:v>project</x:v>
      </x:c>
      <x:c r="I10" s="28" t="str">
        <x:v>BLOCK on OPEN ambiguity</x:v>
      </x:c>
      <x:c r="J10" s="28" t="str">
        <x:v>YES</x:v>
      </x:c>
      <x:c r="K10" s="28" t="str">
        <x:v>validation</x:v>
      </x:c>
      <x:c r="L10" s="28" t="str">
        <x:v>QA007</x:v>
      </x:c>
    </x:row>
    <x:row r="11">
      <x:c r="A11" s="28" t="str">
        <x:v>TR008</x:v>
      </x:c>
      <x:c r="B11" s="28" t="str">
        <x:v>F008</x:v>
      </x:c>
      <x:c r="C11" s="28" t="str">
        <x:v>TRANSLATION_VALIDATED</x:v>
      </x:c>
      <x:c r="D11" s="28" t="str">
        <x:v>human_commit()</x:v>
      </x:c>
      <x:c r="E11" s="28" t="str">
        <x:v>zero OPEN ambiguity + approved blocking QA</x:v>
      </x:c>
      <x:c r="F11" s="28" t="str">
        <x:v>freeze committed spec</x:v>
      </x:c>
      <x:c r="G11" s="28" t="str">
        <x:v>SPEC_COMMITTED</x:v>
      </x:c>
      <x:c r="H11" s="28" t="str">
        <x:v>project</x:v>
      </x:c>
      <x:c r="I11" s="28" t="str">
        <x:v>BLOCK; preserve prior state</x:v>
      </x:c>
      <x:c r="J11" s="28" t="str">
        <x:v>NO</x:v>
      </x:c>
      <x:c r="K11" s="28" t="str">
        <x:v>human</x:v>
      </x:c>
      <x:c r="L11" s="28" t="str">
        <x:v>QA008</x:v>
      </x:c>
    </x:row>
    <x:row r="12">
      <x:c r="A12" s="28" t="str">
        <x:v>TR009</x:v>
      </x:c>
      <x:c r="B12" s="28" t="str">
        <x:v>F009</x:v>
      </x:c>
      <x:c r="C12" s="28" t="str">
        <x:v>SPEC_COMMITTED</x:v>
      </x:c>
      <x:c r="D12" s="28" t="str">
        <x:v>emit()</x:v>
      </x:c>
      <x:c r="E12" s="28" t="str">
        <x:v>human approval exists</x:v>
      </x:c>
      <x:c r="F12" s="28" t="str">
        <x:v>generate implementation spec from committed records</x:v>
      </x:c>
      <x:c r="G12" s="28" t="str">
        <x:v>IMPLEMENTATION_AUTHORIZED</x:v>
      </x:c>
      <x:c r="H12" s="28" t="str">
        <x:v>project</x:v>
      </x:c>
      <x:c r="I12" s="28" t="str">
        <x:v>BLOCK emission</x:v>
      </x:c>
      <x:c r="J12" s="28" t="str">
        <x:v>NO</x:v>
      </x:c>
      <x:c r="K12" s="28" t="str">
        <x:v>compiler</x:v>
      </x:c>
      <x:c r="L12" s="28" t="str">
        <x:v>QA009</x:v>
      </x:c>
    </x:row>
    <x:row r="13">
      <x:c r="A13" s="28" t="str">
        <x:v>TR010</x:v>
      </x:c>
      <x:c r="B13" s="28" t="str">
        <x:v>F010</x:v>
      </x:c>
      <x:c r="C13" s="28" t="str">
        <x:v>IMPLEMENTATION_AUTHORIZED</x:v>
      </x:c>
      <x:c r="D13" s="28" t="str">
        <x:v>verify()</x:v>
      </x:c>
      <x:c r="E13" s="28" t="str">
        <x:v>implementation evidence exists</x:v>
      </x:c>
      <x:c r="F13" s="28" t="str">
        <x:v>compare evidence to QA + traces</x:v>
      </x:c>
      <x:c r="G13" s="28" t="str">
        <x:v>VERIFIED_OR_BLOCKED</x:v>
      </x:c>
      <x:c r="H13" s="28" t="str">
        <x:v>project</x:v>
      </x:c>
      <x:c r="I13" s="28" t="str">
        <x:v>BLOCK release on mismatch</x:v>
      </x:c>
      <x:c r="J13" s="28" t="str">
        <x:v>YES</x:v>
      </x:c>
      <x:c r="K13" s="28" t="str">
        <x:v>verification</x:v>
      </x:c>
      <x:c r="L13" s="28" t="str">
        <x:v>QA010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0" hidden="0" customWidth="1"/>
    <x:col min="5" max="5" width="40" hidden="0" customWidth="1"/>
    <x:col min="6" max="6" width="30" hidden="0" customWidth="1"/>
    <x:col min="7" max="7" width="48" hidden="0" customWidth="1"/>
    <x:col min="8" max="8" width="56" hidden="0" customWidth="1"/>
    <x:col min="9" max="9" width="34" hidden="0" customWidth="1"/>
    <x:col min="10" max="10" width="12" hidden="0" customWidth="1"/>
    <x:col min="11" max="11" width="14" hidden="0" customWidth="1"/>
    <x:col min="12" max="12" width="20" hidden="0" customWidth="1"/>
  </x:cols>
  <x:sheetData>
    <x:row r="1" ht="26" customHeight="1">
      <x:c r="A1" s="5" t="str">
        <x:v>QA Registry — tests exist before implementation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6" t="str">
        <x:v>Test_ID</x:v>
      </x:c>
      <x:c r="B3" s="26" t="str">
        <x:v>Function_ID</x:v>
      </x:c>
      <x:c r="C3" s="26" t="str">
        <x:v>Requirement_ID</x:v>
      </x:c>
      <x:c r="D3" s="26" t="str">
        <x:v>Test_Type</x:v>
      </x:c>
      <x:c r="E3" s="26" t="str">
        <x:v>Given</x:v>
      </x:c>
      <x:c r="F3" s="26" t="str">
        <x:v>When</x:v>
      </x:c>
      <x:c r="G3" s="26" t="str">
        <x:v>Then</x:v>
      </x:c>
      <x:c r="H3" s="26" t="str">
        <x:v>Expected</x:v>
      </x:c>
      <x:c r="I3" s="26" t="str">
        <x:v>Evidence</x:v>
      </x:c>
      <x:c r="J3" s="26" t="str">
        <x:v>Status</x:v>
      </x:c>
      <x:c r="K3" s="26" t="str">
        <x:v>Human_Approved</x:v>
      </x:c>
      <x:c r="L3" s="26" t="str">
        <x:v>Blocks_Implementation</x:v>
      </x:c>
    </x:row>
    <x:row r="4">
      <x:c r="A4" s="28" t="str">
        <x:v>QA001</x:v>
      </x:c>
      <x:c r="B4" s="28" t="str">
        <x:v>F001</x:v>
      </x:c>
      <x:c r="C4" s="28" t="str">
        <x:v>R001</x:v>
      </x:c>
      <x:c r="D4" s="28" t="str">
        <x:v>pre-implementation</x:v>
      </x:c>
      <x:c r="E4" s="28" t="str">
        <x:v>non-empty prose request</x:v>
      </x:c>
      <x:c r="F4" s="28" t="str">
        <x:v>CaptureIntent executes</x:v>
      </x:c>
      <x:c r="G4" s="28" t="str">
        <x:v>atomic intents created; no implementation</x:v>
      </x:c>
      <x:c r="H4" s="28" t="str">
        <x:v>IntentRegistry populated</x:v>
      </x:c>
      <x:c r="I4" s="28" t="str">
        <x:v>workbook inspection</x:v>
      </x:c>
      <x:c r="J4" s="28" t="str">
        <x:v>PASS</x:v>
      </x:c>
      <x:c r="K4" s="28" t="str">
        <x:v>NO</x:v>
      </x:c>
      <x:c r="L4" s="28" t="str">
        <x:v>YES</x:v>
      </x:c>
    </x:row>
    <x:row r="5">
      <x:c r="A5" s="28" t="str">
        <x:v>QA002</x:v>
      </x:c>
      <x:c r="B5" s="28" t="str">
        <x:v>F002</x:v>
      </x:c>
      <x:c r="C5" s="28" t="str">
        <x:v>R001</x:v>
      </x:c>
      <x:c r="D5" s="28" t="str">
        <x:v>pre-implementation</x:v>
      </x:c>
      <x:c r="E5" s="28" t="str">
        <x:v>captured intent</x:v>
      </x:c>
      <x:c r="F5" s="28" t="str">
        <x:v>NormalizeIntent executes</x:v>
      </x:c>
      <x:c r="G5" s="28" t="str">
        <x:v>scope/state/authority/acceptance explicit</x:v>
      </x:c>
      <x:c r="H5" s="28" t="str">
        <x:v>no silent assumption</x:v>
      </x:c>
      <x:c r="I5" s="28" t="str">
        <x:v>workbook inspection</x:v>
      </x:c>
      <x:c r="J5" s="28" t="str">
        <x:v>PASS</x:v>
      </x:c>
      <x:c r="K5" s="28" t="str">
        <x:v>NO</x:v>
      </x:c>
      <x:c r="L5" s="28" t="str">
        <x:v>YES</x:v>
      </x:c>
    </x:row>
    <x:row r="6">
      <x:c r="A6" s="28" t="str">
        <x:v>QA003</x:v>
      </x:c>
      <x:c r="B6" s="28" t="str">
        <x:v>F003</x:v>
      </x:c>
      <x:c r="C6" s="28" t="str">
        <x:v>R003</x:v>
      </x:c>
      <x:c r="D6" s="28" t="str">
        <x:v>pre-implementation</x:v>
      </x:c>
      <x:c r="E6" s="28" t="str">
        <x:v>intent references data</x:v>
      </x:c>
      <x:c r="F6" s="28" t="str">
        <x:v>DeclareObjects executes</x:v>
      </x:c>
      <x:c r="G6" s="28" t="str">
        <x:v>Object_ID + metadata created</x:v>
      </x:c>
      <x:c r="H6" s="28" t="str">
        <x:v>address/rank/shape/dtype explicit</x:v>
      </x:c>
      <x:c r="I6" s="28" t="str">
        <x:v>ObjectRegistry</x:v>
      </x:c>
      <x:c r="J6" s="28" t="str">
        <x:v>PASS</x:v>
      </x:c>
      <x:c r="K6" s="28" t="str">
        <x:v>NO</x:v>
      </x:c>
      <x:c r="L6" s="28" t="str">
        <x:v>YES</x:v>
      </x:c>
    </x:row>
    <x:row r="7">
      <x:c r="A7" s="28" t="str">
        <x:v>QA004</x:v>
      </x:c>
      <x:c r="B7" s="28" t="str">
        <x:v>F004</x:v>
      </x:c>
      <x:c r="C7" s="28" t="str">
        <x:v>R002</x:v>
      </x:c>
      <x:c r="D7" s="28" t="str">
        <x:v>pre-implementation</x:v>
      </x:c>
      <x:c r="E7" s="28" t="str">
        <x:v>functions + objects declared</x:v>
      </x:c>
      <x:c r="F7" s="28" t="str">
        <x:v>BindFunctionIO executes</x:v>
      </x:c>
      <x:c r="G7" s="28" t="str">
        <x:v>all I/O gets Param_ID→Object_ID</x:v>
      </x:c>
      <x:c r="H7" s="28" t="str">
        <x:v>no informal pointer meaning</x:v>
      </x:c>
      <x:c r="I7" s="28" t="str">
        <x:v>ParameterRegistry</x:v>
      </x:c>
      <x:c r="J7" s="28" t="str">
        <x:v>PASS</x:v>
      </x:c>
      <x:c r="K7" s="28" t="str">
        <x:v>NO</x:v>
      </x:c>
      <x:c r="L7" s="28" t="str">
        <x:v>YES</x:v>
      </x:c>
    </x:row>
    <x:row r="8">
      <x:c r="A8" s="28" t="str">
        <x:v>QA005</x:v>
      </x:c>
      <x:c r="B8" s="28" t="str">
        <x:v>F005</x:v>
      </x:c>
      <x:c r="C8" s="28" t="str">
        <x:v>R008</x:v>
      </x:c>
      <x:c r="D8" s="28" t="str">
        <x:v>pre-implementation</x:v>
      </x:c>
      <x:c r="E8" s="28" t="str">
        <x:v>stateful lifecycle rule</x:v>
      </x:c>
      <x:c r="F8" s="28" t="str">
        <x:v>DeclareTransitions executes</x:v>
      </x:c>
      <x:c r="G8" s="28" t="str">
        <x:v>scope preserved</x:v>
      </x:c>
      <x:c r="H8" s="28" t="str">
        <x:v>object/model event cannot become stage/project event</x:v>
      </x:c>
      <x:c r="I8" s="28" t="str">
        <x:v>TransitionRegistry</x:v>
      </x:c>
      <x:c r="J8" s="28" t="str">
        <x:v>PASS</x:v>
      </x:c>
      <x:c r="K8" s="28" t="str">
        <x:v>NO</x:v>
      </x:c>
      <x:c r="L8" s="28" t="str">
        <x:v>YES</x:v>
      </x:c>
    </x:row>
    <x:row r="9">
      <x:c r="A9" s="28" t="str">
        <x:v>QA006</x:v>
      </x:c>
      <x:c r="B9" s="28" t="str">
        <x:v>F006</x:v>
      </x:c>
      <x:c r="C9" s="28" t="str">
        <x:v>R006</x:v>
      </x:c>
      <x:c r="D9" s="28" t="str">
        <x:v>pre-implementation</x:v>
      </x:c>
      <x:c r="E9" s="28" t="str">
        <x:v>acceptance semantics exist</x:v>
      </x:c>
      <x:c r="F9" s="28" t="str">
        <x:v>GenerateQA executes</x:v>
      </x:c>
      <x:c r="G9" s="28" t="str">
        <x:v>blocking behavior has test</x:v>
      </x:c>
      <x:c r="H9" s="28" t="str">
        <x:v>no authorization without tests</x:v>
      </x:c>
      <x:c r="I9" s="28" t="str">
        <x:v>QARegistry</x:v>
      </x:c>
      <x:c r="J9" s="28" t="str">
        <x:v>PASS</x:v>
      </x:c>
      <x:c r="K9" s="28" t="str">
        <x:v>NO</x:v>
      </x:c>
      <x:c r="L9" s="28" t="str">
        <x:v>YES</x:v>
      </x:c>
    </x:row>
    <x:row r="10">
      <x:c r="A10" s="28" t="str">
        <x:v>QA007</x:v>
      </x:c>
      <x:c r="B10" s="28" t="str">
        <x:v>F007</x:v>
      </x:c>
      <x:c r="C10" s="28" t="str">
        <x:v>R004</x:v>
      </x:c>
      <x:c r="D10" s="28" t="str">
        <x:v>pre-implementation</x:v>
      </x:c>
      <x:c r="E10" s="28" t="str">
        <x:v>registries populated</x:v>
      </x:c>
      <x:c r="F10" s="28" t="str">
        <x:v>ValidateTranslation executes</x:v>
      </x:c>
      <x:c r="G10" s="28" t="str">
        <x:v>uncertainty becomes OPEN ambiguity</x:v>
      </x:c>
      <x:c r="H10" s="28" t="str">
        <x:v>OPEN ambiguity blocks commit</x:v>
      </x:c>
      <x:c r="I10" s="28" t="str">
        <x:v>Ambiguity + Trace</x:v>
      </x:c>
      <x:c r="J10" s="28" t="str">
        <x:v>PASS</x:v>
      </x:c>
      <x:c r="K10" s="28" t="str">
        <x:v>NO</x:v>
      </x:c>
      <x:c r="L10" s="28" t="str">
        <x:v>YES</x:v>
      </x:c>
    </x:row>
    <x:row r="11">
      <x:c r="A11" s="28" t="str">
        <x:v>QA008</x:v>
      </x:c>
      <x:c r="B11" s="28" t="str">
        <x:v>F008</x:v>
      </x:c>
      <x:c r="C11" s="28" t="str">
        <x:v>R005</x:v>
      </x:c>
      <x:c r="D11" s="28" t="str">
        <x:v>pre-implementation</x:v>
      </x:c>
      <x:c r="E11" s="28" t="str">
        <x:v>translation validated</x:v>
      </x:c>
      <x:c r="F11" s="28" t="str">
        <x:v>HumanCommit requested</x:v>
      </x:c>
      <x:c r="G11" s="28" t="str">
        <x:v>commit only after explicit human approval</x:v>
      </x:c>
      <x:c r="H11" s="28" t="str">
        <x:v>otherwise SPEC_COMMITTED unreachable</x:v>
      </x:c>
      <x:c r="I11" s="28" t="str">
        <x:v>control gate</x:v>
      </x:c>
      <x:c r="J11" s="28" t="str">
        <x:v>PASS</x:v>
      </x:c>
      <x:c r="K11" s="28" t="str">
        <x:v>NO</x:v>
      </x:c>
      <x:c r="L11" s="28" t="str">
        <x:v>YES</x:v>
      </x:c>
    </x:row>
    <x:row r="12">
      <x:c r="A12" s="28" t="str">
        <x:v>QA009</x:v>
      </x:c>
      <x:c r="B12" s="28" t="str">
        <x:v>F009</x:v>
      </x:c>
      <x:c r="C12" s="28" t="str">
        <x:v>R007</x:v>
      </x:c>
      <x:c r="D12" s="28" t="str">
        <x:v>pre-implementation</x:v>
      </x:c>
      <x:c r="E12" s="28" t="str">
        <x:v>committed spec exists</x:v>
      </x:c>
      <x:c r="F12" s="28" t="str">
        <x:v>EmitImplementationSpec executes</x:v>
      </x:c>
      <x:c r="G12" s="28" t="str">
        <x:v>output uses committed records only</x:v>
      </x:c>
      <x:c r="H12" s="28" t="str">
        <x:v>no prose/source semantic override</x:v>
      </x:c>
      <x:c r="I12" s="28" t="str">
        <x:v>TraceMap</x:v>
      </x:c>
      <x:c r="J12" s="28" t="str">
        <x:v>PASS</x:v>
      </x:c>
      <x:c r="K12" s="28" t="str">
        <x:v>NO</x:v>
      </x:c>
      <x:c r="L12" s="28" t="str">
        <x:v>YES</x:v>
      </x:c>
    </x:row>
    <x:row r="13">
      <x:c r="A13" s="28" t="str">
        <x:v>QA010</x:v>
      </x:c>
      <x:c r="B13" s="28" t="str">
        <x:v>F010</x:v>
      </x:c>
      <x:c r="C13" s="28" t="str">
        <x:v>R006</x:v>
      </x:c>
      <x:c r="D13" s="28" t="str">
        <x:v>post-implementation</x:v>
      </x:c>
      <x:c r="E13" s="28" t="str">
        <x:v>implementation evidence exists</x:v>
      </x:c>
      <x:c r="F13" s="28" t="str">
        <x:v>VerifyImplementation executes</x:v>
      </x:c>
      <x:c r="G13" s="28" t="str">
        <x:v>evidence compared to committed semantics</x:v>
      </x:c>
      <x:c r="H13" s="28" t="str">
        <x:v>mismatch blocks release</x:v>
      </x:c>
      <x:c r="I13" s="28" t="str">
        <x:v>test/trace evidence</x:v>
      </x:c>
      <x:c r="J13" s="28" t="str">
        <x:v>PASS</x:v>
      </x:c>
      <x:c r="K13" s="28" t="str">
        <x:v>NO</x:v>
      </x:c>
      <x:c r="L13" s="28" t="str">
        <x:v>YES</x:v>
      </x:c>
    </x:row>
  </x:sheetData>
  <x:mergeCells>
    <x:mergeCell ref="A1:L1"/>
  </x:mergeCells>
  <x:dataValidations count="3">
    <x:dataValidation type="list" sqref="J4:J1000">
      <x:formula1>"PASS,FAIL,NOT_RUN"</x:formula1>
    </x:dataValidation>
    <x:dataValidation type="list" sqref="K4:K1000">
      <x:formula1>"YES,NO"</x:formula1>
    </x:dataValidation>
    <x:dataValidation type="list" sqref="L4:L100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8" hidden="0" customWidth="1"/>
    <x:col min="4" max="4" width="12" hidden="0" customWidth="1"/>
    <x:col min="5" max="5" width="86" hidden="0" customWidth="1"/>
    <x:col min="6" max="6" width="24" hidden="0" customWidth="1"/>
    <x:col min="7" max="7" width="14" hidden="0" customWidth="1"/>
    <x:col min="8" max="8" width="20" hidden="0" customWidth="1"/>
  </x:cols>
  <x:sheetData>
    <x:row r="1" ht="26" customHeight="1">
      <x:c r="A1" s="5" t="str">
        <x:v>Ambiguity Registry — uncertainty is explicit; OPEN blocks implementation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Ambiguity_ID</x:v>
      </x:c>
      <x:c r="B3" s="26" t="str">
        <x:v>Source_Intent</x:v>
      </x:c>
      <x:c r="C3" s="26" t="str">
        <x:v>Question</x:v>
      </x:c>
      <x:c r="D3" s="26" t="str">
        <x:v>Function_ID</x:v>
      </x:c>
      <x:c r="E3" s="26" t="str">
        <x:v>Resolution</x:v>
      </x:c>
      <x:c r="F3" s="26" t="str">
        <x:v>Resolver</x:v>
      </x:c>
      <x:c r="G3" s="26" t="str">
        <x:v>Status</x:v>
      </x:c>
      <x:c r="H3" s="26" t="str">
        <x:v>Blocks_Implementation</x:v>
      </x:c>
    </x:row>
    <x:row r="4">
      <x:c r="A4" s="28" t="str">
        <x:v>AMB0001</x:v>
      </x:c>
      <x:c r="B4" s="28" t="str">
        <x:v>INT004</x:v>
      </x:c>
      <x:c r="C4" s="28" t="str">
        <x:v>Can a portable spreadsheet cell safely store an opaque cluster/array object across Excel/OpenOffice?</x:v>
      </x:c>
      <x:c r="D4" s="28" t="str">
        <x:v>F003</x:v>
      </x:c>
      <x:c r="E4" s="28" t="str">
        <x:v>Do not depend on opaque cell clusters. Use normal ranges for 2D data and normalized object descriptors; tensor3 uses indexed 2D slices.</x:v>
      </x:c>
      <x:c r="F4" s="28" t="str">
        <x:v>AITEgpt v0r0b1 design</x:v>
      </x:c>
      <x:c r="G4" s="28" t="str">
        <x:v>RESOLVED</x:v>
      </x:c>
      <x:c r="H4" s="28" t="str">
        <x:v>YES</x:v>
      </x:c>
    </x:row>
    <x:row r="5">
      <x:c r="A5" s="28" t="str">
        <x:v>AMB0002</x:v>
      </x:c>
      <x:c r="B5" s="28" t="str">
        <x:v>INT005</x:v>
      </x:c>
      <x:c r="C5" s="28" t="str">
        <x:v>How can a pointer retain location, shape and data type?</x:v>
      </x:c>
      <x:c r="D5" s="28" t="str">
        <x:v>F004</x:v>
      </x:c>
      <x:c r="E5" s="28" t="str">
        <x:v>Param_ID binds to Object_ID; Object_ID stores Workbook, Worksheet, Anchor, Rank, dimensions, DType, Scope, Mutability and Lifecycle. Compact reference is display-only.</x:v>
      </x:c>
      <x:c r="F5" s="28" t="str">
        <x:v>AITEgpt v0r0b1 design</x:v>
      </x:c>
      <x:c r="G5" s="28" t="str">
        <x:v>RESOLVED</x:v>
      </x:c>
      <x:c r="H5" s="28" t="str">
        <x:v>YES</x:v>
      </x:c>
    </x:row>
  </x:sheetData>
  <x:mergeCells>
    <x:mergeCell ref="A1:H1"/>
  </x:mergeCells>
  <x:conditionalFormatting sqref="G4:G500">
    <x:cfRule type="expression" dxfId="2" priority="1">
      <x:formula>G4="OPEN"</x:formula>
    </x:cfRule>
  </x:conditionalFormatting>
  <x:dataValidations count="2">
    <x:dataValidation type="list" sqref="G4:G500">
      <x:formula1>"OPEN,RESOLVED"</x:formula1>
    </x:dataValidation>
    <x:dataValidation type="list" sqref="H4:H500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0" hidden="0" customWidth="1"/>
    <x:col min="4" max="4" width="84" hidden="0" customWidth="1"/>
    <x:col min="5" max="5" width="30" hidden="0" customWidth="1"/>
    <x:col min="6" max="6" width="16" hidden="0" customWidth="1"/>
    <x:col min="7" max="7" width="42" hidden="0" customWidth="1"/>
    <x:col min="8" max="8" width="68" hidden="0" customWidth="1"/>
    <x:col min="9" max="9" width="14" hidden="0" customWidth="1"/>
    <x:col min="10" max="10" width="14" hidden="0" customWidth="1"/>
  </x:cols>
  <x:sheetData>
    <x:row r="1" ht="26" customHeight="1">
      <x:c r="A1" s="5" t="str">
        <x:v>Intent Registry — prose translated into explicit code-shaped meaning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6" t="str">
        <x:v>Intent_ID</x:v>
      </x:c>
      <x:c r="B3" s="26" t="str">
        <x:v>Source</x:v>
      </x:c>
      <x:c r="C3" s="26" t="str">
        <x:v>Prose_Statement</x:v>
      </x:c>
      <x:c r="D3" s="26" t="str">
        <x:v>Code_Shaped_Translation</x:v>
      </x:c>
      <x:c r="E3" s="26" t="str">
        <x:v>Object_Scope</x:v>
      </x:c>
      <x:c r="F3" s="26" t="str">
        <x:v>Authority</x:v>
      </x:c>
      <x:c r="G3" s="26" t="str">
        <x:v>State_or_Transition</x:v>
      </x:c>
      <x:c r="H3" s="26" t="str">
        <x:v>Acceptance_Criterion</x:v>
      </x:c>
      <x:c r="I3" s="26" t="str">
        <x:v>Status</x:v>
      </x:c>
      <x:c r="J3" s="26" t="str">
        <x:v>Human_Approved</x:v>
      </x:c>
    </x:row>
    <x:row r="4">
      <x:c r="A4" s="28" t="str">
        <x:v>INT001</x:v>
      </x:c>
      <x:c r="B4" s="28" t="str">
        <x:v>AITE working note</x:v>
      </x:c>
      <x:c r="C4" s="28" t="str">
        <x:v>Human prose establishes the topic.</x:v>
      </x:c>
      <x:c r="D4" s="28" t="str">
        <x:v>Capture prose as evidence; do not execute it directly.</x:v>
      </x:c>
      <x:c r="E4" s="28" t="str">
        <x:v>project-request</x:v>
      </x:c>
      <x:c r="F4" s="28" t="str">
        <x:v>translation</x:v>
      </x:c>
      <x:c r="G4" s="28" t="str">
        <x:v>REQUEST_RECEIVED→INTENT_CAPTURED</x:v>
      </x:c>
      <x:c r="H4" s="28" t="str">
        <x:v>No implementation side effect during capture.</x:v>
      </x:c>
      <x:c r="I4" s="28" t="str">
        <x:v>TRANSLATED</x:v>
      </x:c>
      <x:c r="J4" s="28" t="str">
        <x:v>NO</x:v>
      </x:c>
    </x:row>
    <x:row r="5">
      <x:c r="A5" s="28" t="str">
        <x:v>INT002</x:v>
      </x:c>
      <x:c r="B5" s="28" t="str">
        <x:v>AITE working note</x:v>
      </x:c>
      <x:c r="C5" s="28" t="str">
        <x:v>AI translates request into code-shaped intent and a formal QA record before implementation.</x:v>
      </x:c>
      <x:c r="D5" s="28" t="str">
        <x:v>Populate Intent/Object/Parameter/Function/Transition/QA registries before implementation authorization.</x:v>
      </x:c>
      <x:c r="E5" s="28" t="str">
        <x:v>project</x:v>
      </x:c>
      <x:c r="F5" s="28" t="str">
        <x:v>translation</x:v>
      </x:c>
      <x:c r="G5" s="28" t="str">
        <x:v>INTENT_CAPTURED→QA_DECLARED</x:v>
      </x:c>
      <x:c r="H5" s="28" t="str">
        <x:v>Committed behavior is traceable to explicit records/tests.</x:v>
      </x:c>
      <x:c r="I5" s="28" t="str">
        <x:v>TRANSLATED</x:v>
      </x:c>
      <x:c r="J5" s="28" t="str">
        <x:v>NO</x:v>
      </x:c>
    </x:row>
    <x:row r="6">
      <x:c r="A6" s="28" t="str">
        <x:v>INT003</x:v>
      </x:c>
      <x:c r="B6" s="28" t="str">
        <x:v>AITE working note</x:v>
      </x:c>
      <x:c r="C6" s="28" t="str">
        <x:v>Human reviews translations before implementation.</x:v>
      </x:c>
      <x:c r="D6" s="28" t="str">
        <x:v>HumanCommit is a distinct gate after validation.</x:v>
      </x:c>
      <x:c r="E6" s="28" t="str">
        <x:v>project</x:v>
      </x:c>
      <x:c r="F6" s="28" t="str">
        <x:v>human</x:v>
      </x:c>
      <x:c r="G6" s="28" t="str">
        <x:v>TRANSLATION_VALIDATED→SPEC_COMMITTED</x:v>
      </x:c>
      <x:c r="H6" s="28" t="str">
        <x:v>No implementation spec emitted without human approval.</x:v>
      </x:c>
      <x:c r="I6" s="28" t="str">
        <x:v>TRANSLATED</x:v>
      </x:c>
      <x:c r="J6" s="28" t="str">
        <x:v>NO</x:v>
      </x:c>
    </x:row>
    <x:row r="7">
      <x:c r="A7" s="28" t="str">
        <x:v>INT004</x:v>
      </x:c>
      <x:c r="B7" s="28" t="str">
        <x:v>user 2026-09-13</x:v>
      </x:c>
      <x:c r="C7" s="28" t="str">
        <x:v>Workbook pages can contain functions and cells can represent function I/O/data pointers.</x:v>
      </x:c>
      <x:c r="D7" s="28" t="str">
        <x:v>One function worksheet per Function_ID; parameters are registry rows bound to Object_ID descriptors.</x:v>
      </x:c>
      <x:c r="E7" s="28" t="str">
        <x:v>function/parameter/object</x:v>
      </x:c>
      <x:c r="F7" s="28" t="str">
        <x:v>translation</x:v>
      </x:c>
      <x:c r="G7" s="28" t="str">
        <x:v>OBJECTS_DECLARED→IO_BOUND</x:v>
      </x:c>
      <x:c r="H7" s="28" t="str">
        <x:v>Every function I/O resolves to a typed object.</x:v>
      </x:c>
      <x:c r="I7" s="28" t="str">
        <x:v>TRANSLATED</x:v>
      </x:c>
      <x:c r="J7" s="28" t="str">
        <x:v>NO</x:v>
      </x:c>
    </x:row>
    <x:row r="8">
      <x:c r="A8" s="28" t="str">
        <x:v>INT005</x:v>
      </x:c>
      <x:c r="B8" s="28" t="str">
        <x:v>user 2026-09-13</x:v>
      </x:c>
      <x:c r="C8" s="28" t="str">
        <x:v>Pointers need workbook/page/cell plus size and data type.</x:v>
      </x:c>
      <x:c r="D8" s="28" t="str">
        <x:v>Object descriptor carries Workbook, Worksheet, Anchor, Rank, Dim1-3, DType, Scope, Mutable and Lifecycle.</x:v>
      </x:c>
      <x:c r="E8" s="28" t="str">
        <x:v>object</x:v>
      </x:c>
      <x:c r="F8" s="28" t="str">
        <x:v>translation</x:v>
      </x:c>
      <x:c r="G8" s="28" t="str">
        <x:v>object declaration</x:v>
      </x:c>
      <x:c r="H8" s="28" t="str">
        <x:v>Pointer invalid if address/shape/type metadata is absent.</x:v>
      </x:c>
      <x:c r="I8" s="28" t="str">
        <x:v>TRANSLATED</x:v>
      </x:c>
      <x:c r="J8" s="28" t="str">
        <x:v>NO</x:v>
      </x:c>
    </x:row>
    <x:row r="9">
      <x:c r="A9" s="28" t="str">
        <x:v>INT006</x:v>
      </x:c>
      <x:c r="B9" s="28" t="str">
        <x:v>AITE working note</x:v>
      </x:c>
      <x:c r="C9" s="28" t="str">
        <x:v>Implementation is checked against tests, traces or transition records.</x:v>
      </x:c>
      <x:c r="D9" s="28" t="str">
        <x:v>VerifyImplementation compares observed evidence to committed QA/transitions.</x:v>
      </x:c>
      <x:c r="E9" s="28" t="str">
        <x:v>project</x:v>
      </x:c>
      <x:c r="F9" s="28" t="str">
        <x:v>verification</x:v>
      </x:c>
      <x:c r="G9" s="28" t="str">
        <x:v>IMPLEMENTATION_AUTHORIZED→VERIFIED_OR_BLOCKED</x:v>
      </x:c>
      <x:c r="H9" s="28" t="str">
        <x:v>Mismatch blocks release.</x:v>
      </x:c>
      <x:c r="I9" s="28" t="str">
        <x:v>TRANSLATED</x:v>
      </x:c>
      <x:c r="J9" s="28" t="str">
        <x:v>NO</x:v>
      </x:c>
    </x:row>
    <x:row r="10">
      <x:c r="A10" s="28" t="str">
        <x:v>INT007</x:v>
      </x:c>
      <x:c r="B10" s="28" t="str">
        <x:v>AITE working note</x:v>
      </x:c>
      <x:c r="C10" s="28" t="str">
        <x:v>Earlier vibe-coded source is not intent provenance.</x:v>
      </x:c>
      <x:c r="D10" s="28" t="str">
        <x:v>Source may be evidence only through TraceMap; it cannot overwrite committed intent.</x:v>
      </x:c>
      <x:c r="E10" s="28" t="str">
        <x:v>project/source</x:v>
      </x:c>
      <x:c r="F10" s="28" t="str">
        <x:v>governance</x:v>
      </x:c>
      <x:c r="G10" s="28" t="str">
        <x:v>all states</x:v>
      </x:c>
      <x:c r="H10" s="28" t="str">
        <x:v>Inherited implementation cannot silently redefine spec.</x:v>
      </x:c>
      <x:c r="I10" s="28" t="str">
        <x:v>TRANSLATED</x:v>
      </x:c>
      <x:c r="J10" s="28" t="str">
        <x:v>NO</x:v>
      </x:c>
    </x:row>
    <x:row r="11">
      <x:c r="A11" s="28" t="str">
        <x:v>INT008</x:v>
      </x:c>
      <x:c r="B11" s="28" t="str">
        <x:v>AIGPTChessPlay canonical case</x:v>
      </x:c>
      <x:c r="C11" s="28" t="str">
        <x:v>Abort/defer/retest exhaustion applies to selected model test, not the whole MODEL_PREFILTER stage.</x:v>
      </x:c>
      <x:c r="D11" s="28" t="str">
        <x:v>Transition scope must explicitly identify selected model test; stage transition requires separate authority/rule.</x:v>
      </x:c>
      <x:c r="E11" s="28" t="str">
        <x:v>model-test lifecycle</x:v>
      </x:c>
      <x:c r="F11" s="28" t="str">
        <x:v>translation</x:v>
      </x:c>
      <x:c r="G11" s="28" t="str">
        <x:v>ABORT→DEFER→RETEST; exhausted→abandon model test; queue continues</x:v>
      </x:c>
      <x:c r="H11" s="28" t="str">
        <x:v>QA fails if model-level lifecycle event becomes stage-level event.</x:v>
      </x:c>
      <x:c r="I11" s="28" t="str">
        <x:v>TRANSLATED</x:v>
      </x:c>
      <x:c r="J11" s="28" t="str">
        <x:v>NO</x:v>
      </x:c>
    </x:row>
  </x:sheetData>
  <x:mergeCells>
    <x:mergeCell ref="A1:J1"/>
  </x:mergeCells>
  <x:dataValidations count="2">
    <x:dataValidation type="list" sqref="I4:I500">
      <x:formula1>"DRAFT,TRANSLATED,COMMITTED,REJECTED"</x:formula1>
    </x:dataValidation>
    <x:dataValidation type="list" sqref="J4:J500">
      <x:formula1>"YES,NO"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30" hidden="0" customWidth="1"/>
    <x:col min="5" max="5" width="34" hidden="0" customWidth="1"/>
    <x:col min="6" max="6" width="18" hidden="0" customWidth="1"/>
    <x:col min="7" max="7" width="16" hidden="0" customWidth="1"/>
    <x:col min="8" max="8" width="44" hidden="0" customWidth="1"/>
    <x:col min="9" max="9" width="40" hidden="0" customWidth="1"/>
    <x:col min="10" max="10" width="14" hidden="0" customWidth="1"/>
  </x:cols>
  <x:sheetData>
    <x:row r="1" ht="26" customHeight="1">
      <x:c r="A1" s="5" t="str">
        <x:v>Trace Map — intent to implementation evidence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6" t="str">
        <x:v>Trace_ID</x:v>
      </x:c>
      <x:c r="B3" s="26" t="str">
        <x:v>Intent_ID</x:v>
      </x:c>
      <x:c r="C3" s="26" t="str">
        <x:v>Function_ID</x:v>
      </x:c>
      <x:c r="D3" s="26" t="str">
        <x:v>Param_IDs</x:v>
      </x:c>
      <x:c r="E3" s="26" t="str">
        <x:v>Object_IDs</x:v>
      </x:c>
      <x:c r="F3" s="26" t="str">
        <x:v>Transition_ID</x:v>
      </x:c>
      <x:c r="G3" s="26" t="str">
        <x:v>Test_ID</x:v>
      </x:c>
      <x:c r="H3" s="26" t="str">
        <x:v>Implementation_Target</x:v>
      </x:c>
      <x:c r="I3" s="26" t="str">
        <x:v>Evidence_Target</x:v>
      </x:c>
      <x:c r="J3" s="26" t="str">
        <x:v>Status</x:v>
      </x:c>
    </x:row>
    <x:row r="4">
      <x:c r="A4" s="28" t="str">
        <x:v>TRACE001</x:v>
      </x:c>
      <x:c r="B4" s="28" t="str">
        <x:v>INT001</x:v>
      </x:c>
      <x:c r="C4" s="28" t="str">
        <x:v>F001</x:v>
      </x:c>
      <x:c r="D4" s="28" t="str">
        <x:v>PAR0001,PAR0002</x:v>
      </x:c>
      <x:c r="E4" s="28" t="str">
        <x:v>OBJ0001,OBJ0002</x:v>
      </x:c>
      <x:c r="F4" s="28" t="str">
        <x:v>TR001</x:v>
      </x:c>
      <x:c r="G4" s="28" t="str">
        <x:v>QA001</x:v>
      </x:c>
      <x:c r="H4" s="28" t="str">
        <x:v>CaptureIntent</x:v>
      </x:c>
      <x:c r="I4" s="28" t="str">
        <x:v>IntentRegistry rows</x:v>
      </x:c>
      <x:c r="J4" s="28" t="str">
        <x:v>COMPLETE</x:v>
      </x:c>
    </x:row>
    <x:row r="5">
      <x:c r="A5" s="28" t="str">
        <x:v>TRACE002</x:v>
      </x:c>
      <x:c r="B5" s="28" t="str">
        <x:v>INT002</x:v>
      </x:c>
      <x:c r="C5" s="28" t="str">
        <x:v>F002-F006</x:v>
      </x:c>
      <x:c r="D5" s="28" t="str">
        <x:v>PAR0003-PAR0017</x:v>
      </x:c>
      <x:c r="E5" s="28" t="str">
        <x:v>OBJ0002-OBJ0007</x:v>
      </x:c>
      <x:c r="F5" s="28" t="str">
        <x:v>TR002-TR006</x:v>
      </x:c>
      <x:c r="G5" s="28" t="str">
        <x:v>QA002-QA006</x:v>
      </x:c>
      <x:c r="H5" s="28" t="str">
        <x:v>translation pipeline</x:v>
      </x:c>
      <x:c r="I5" s="28" t="str">
        <x:v>registries + QA</x:v>
      </x:c>
      <x:c r="J5" s="28" t="str">
        <x:v>COMPLETE</x:v>
      </x:c>
    </x:row>
    <x:row r="6">
      <x:c r="A6" s="28" t="str">
        <x:v>TRACE003</x:v>
      </x:c>
      <x:c r="B6" s="28" t="str">
        <x:v>INT003</x:v>
      </x:c>
      <x:c r="C6" s="28" t="str">
        <x:v>F008</x:v>
      </x:c>
      <x:c r="D6" s="28" t="str">
        <x:v>PAR0025-PAR0028</x:v>
      </x:c>
      <x:c r="E6" s="28" t="str">
        <x:v>OBJ0002,OBJ0007,OBJ0008,OBJ0010</x:v>
      </x:c>
      <x:c r="F6" s="28" t="str">
        <x:v>TR008</x:v>
      </x:c>
      <x:c r="G6" s="28" t="str">
        <x:v>QA008</x:v>
      </x:c>
      <x:c r="H6" s="28" t="str">
        <x:v>human commit gate</x:v>
      </x:c>
      <x:c r="I6" s="28" t="str">
        <x:v>committed snapshot</x:v>
      </x:c>
      <x:c r="J6" s="28" t="str">
        <x:v>COMPLETE</x:v>
      </x:c>
    </x:row>
    <x:row r="7">
      <x:c r="A7" s="28" t="str">
        <x:v>TRACE004</x:v>
      </x:c>
      <x:c r="B7" s="28" t="str">
        <x:v>INT004</x:v>
      </x:c>
      <x:c r="C7" s="28" t="str">
        <x:v>F003-F004</x:v>
      </x:c>
      <x:c r="D7" s="28" t="str">
        <x:v>PAR0005-PAR0010</x:v>
      </x:c>
      <x:c r="E7" s="28" t="str">
        <x:v>OBJ0002-OBJ0005</x:v>
      </x:c>
      <x:c r="F7" s="28" t="str">
        <x:v>TR003-TR004</x:v>
      </x:c>
      <x:c r="G7" s="28" t="str">
        <x:v>QA003-QA004</x:v>
      </x:c>
      <x:c r="H7" s="28" t="str">
        <x:v>function sheets + bindings</x:v>
      </x:c>
      <x:c r="I7" s="28" t="str">
        <x:v>resolved I/O</x:v>
      </x:c>
      <x:c r="J7" s="28" t="str">
        <x:v>COMPLETE</x:v>
      </x:c>
    </x:row>
    <x:row r="8">
      <x:c r="A8" s="28" t="str">
        <x:v>TRACE005</x:v>
      </x:c>
      <x:c r="B8" s="28" t="str">
        <x:v>INT005</x:v>
      </x:c>
      <x:c r="C8" s="28" t="str">
        <x:v>F003-F004</x:v>
      </x:c>
      <x:c r="D8" s="28" t="str">
        <x:v>PAR0006,PAR0008,PAR0010</x:v>
      </x:c>
      <x:c r="E8" s="28" t="str">
        <x:v>OBJ0003,OBJ0004</x:v>
      </x:c>
      <x:c r="F8" s="28" t="str">
        <x:v>TR003-TR004</x:v>
      </x:c>
      <x:c r="G8" s="28" t="str">
        <x:v>QA003-QA004</x:v>
      </x:c>
      <x:c r="H8" s="28" t="str">
        <x:v>object metadata + compact pointer</x:v>
      </x:c>
      <x:c r="I8" s="28" t="str">
        <x:v>shape/type/address</x:v>
      </x:c>
      <x:c r="J8" s="28" t="str">
        <x:v>COMPLETE</x:v>
      </x:c>
    </x:row>
    <x:row r="9">
      <x:c r="A9" s="28" t="str">
        <x:v>TRACE006</x:v>
      </x:c>
      <x:c r="B9" s="28" t="str">
        <x:v>INT006</x:v>
      </x:c>
      <x:c r="C9" s="28" t="str">
        <x:v>F010</x:v>
      </x:c>
      <x:c r="D9" s="28" t="str">
        <x:v>PAR0031-PAR0033</x:v>
      </x:c>
      <x:c r="E9" s="28" t="str">
        <x:v>OBJ0011-OBJ0013</x:v>
      </x:c>
      <x:c r="F9" s="28" t="str">
        <x:v>TR010</x:v>
      </x:c>
      <x:c r="G9" s="28" t="str">
        <x:v>QA010</x:v>
      </x:c>
      <x:c r="H9" s="28" t="str">
        <x:v>verification subsystem</x:v>
      </x:c>
      <x:c r="I9" s="28" t="str">
        <x:v>test/trace evidence</x:v>
      </x:c>
      <x:c r="J9" s="28" t="str">
        <x:v>COMPLETE</x:v>
      </x:c>
    </x:row>
    <x:row r="10">
      <x:c r="A10" s="28" t="str">
        <x:v>TRACE007</x:v>
      </x:c>
      <x:c r="B10" s="28" t="str">
        <x:v>INT007</x:v>
      </x:c>
      <x:c r="C10" s="28" t="str">
        <x:v>F007,F009</x:v>
      </x:c>
      <x:c r="D10" s="28" t="str">
        <x:v>PAR0018-PAR0024,PAR0029-PAR0030</x:v>
      </x:c>
      <x:c r="E10" s="28" t="str">
        <x:v>OBJ0009-OBJ0011</x:v>
      </x:c>
      <x:c r="F10" s="28" t="str">
        <x:v>TR007,TR009</x:v>
      </x:c>
      <x:c r="G10" s="28" t="str">
        <x:v>QA007,QA009</x:v>
      </x:c>
      <x:c r="H10" s="28" t="str">
        <x:v>provenance/emit logic</x:v>
      </x:c>
      <x:c r="I10" s="28" t="str">
        <x:v>TraceMap</x:v>
      </x:c>
      <x:c r="J10" s="28" t="str">
        <x:v>COMPLETE</x:v>
      </x:c>
    </x:row>
    <x:row r="11">
      <x:c r="A11" s="28" t="str">
        <x:v>TRACE008</x:v>
      </x:c>
      <x:c r="B11" s="28" t="str">
        <x:v>INT008</x:v>
      </x:c>
      <x:c r="C11" s="28" t="str">
        <x:v>F005</x:v>
      </x:c>
      <x:c r="D11" s="28" t="str">
        <x:v>PAR0011-PAR0013</x:v>
      </x:c>
      <x:c r="E11" s="28" t="str">
        <x:v>OBJ0005,OBJ0006</x:v>
      </x:c>
      <x:c r="F11" s="28" t="str">
        <x:v>TR005</x:v>
      </x:c>
      <x:c r="G11" s="28" t="str">
        <x:v>QA005</x:v>
      </x:c>
      <x:c r="H11" s="28" t="str">
        <x:v>scope-preserving transition logic</x:v>
      </x:c>
      <x:c r="I11" s="28" t="str">
        <x:v>TransitionRegistry</x:v>
      </x:c>
      <x:c r="J11" s="28" t="str">
        <x:v>COMPLETE</x:v>
      </x:c>
    </x:row>
  </x:sheetData>
  <x:mergeCells>
    <x:mergeCell ref="A1:J1"/>
  </x:mergeCells>
  <x:dataValidations count="1">
    <x:dataValidation type="list" sqref="J4:J500">
      <x:formula1>"COMPLETE,INCOMPLETE,BLOCKED"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F001 CaptureIntent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F001</x:v>
      </x:c>
    </x:row>
    <x:row r="5">
      <x:c r="A5" s="27" t="str">
        <x:v>Function_Name</x:v>
      </x:c>
      <x:c r="B5" s="28" t="str">
        <x:v>CaptureIntent</x:v>
      </x:c>
    </x:row>
    <x:row r="6">
      <x:c r="A6" s="27" t="str">
        <x:v>Purpose</x:v>
      </x:c>
      <x:c r="B6" s="28" t="str">
        <x:v>Convert incoming prose into atomic intent records without authorizing or producing implementation.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PAR0001</x:v>
      </x:c>
      <x:c r="B10" t="str">
        <x:v>prose_request</x:v>
      </x:c>
      <x:c r="C10" t="str">
        <x:v>OBJ0001</x:v>
      </x:c>
      <x:c r="D10" t="str">
        <x:v>text</x:v>
      </x:c>
      <x:c r="E10" t="str">
        <x:v>value</x:v>
      </x:c>
      <x:c r="F10" t="str">
        <x:v>required</x:v>
      </x:c>
    </x:row>
    <x:row r="12">
      <x:c r="A12" s="35" t="str">
        <x:v>Outputs</x:v>
      </x:c>
      <x:c r="B12" s="35"/>
      <x:c r="C12" s="35"/>
      <x:c r="D12" s="35"/>
      <x:c r="E12" s="35"/>
      <x:c r="F12" s="35"/>
      <x:c r="G12" s="35"/>
      <x:c r="H12" s="35"/>
    </x:row>
    <x:row r="13">
      <x:c r="A13" s="14" t="str">
        <x:v>Param_ID</x:v>
      </x:c>
      <x:c r="B13" s="14" t="str">
        <x:v>Name</x:v>
      </x:c>
      <x:c r="C13" s="14" t="str">
        <x:v>Object_ID</x:v>
      </x:c>
      <x:c r="D13" s="14" t="str">
        <x:v>Class</x:v>
      </x:c>
      <x:c r="E13" s="14" t="str">
        <x:v>Pass_Mode</x:v>
      </x:c>
      <x:c r="F13" s="14" t="str">
        <x:v>Validation</x:v>
      </x:c>
    </x:row>
    <x:row r="14">
      <x:c r="A14" t="str">
        <x:v>PAR0002</x:v>
      </x:c>
      <x:c r="B14" t="str">
        <x:v>intent_registry</x:v>
      </x:c>
      <x:c r="C14" t="str">
        <x:v>OBJ0002</x:v>
      </x:c>
      <x:c r="D14" t="str">
        <x:v>table</x:v>
      </x:c>
      <x:c r="E14" t="str">
        <x:v>ref</x:v>
      </x:c>
      <x:c r="F14" t="str">
        <x:v>new DRAFT rows</x:v>
      </x:c>
    </x:row>
    <x:row r="16">
      <x:c r="A16" s="35" t="str">
        <x:v>Algorithm / Pseudocode</x:v>
      </x:c>
      <x:c r="B16" s="35"/>
      <x:c r="C16" s="35"/>
      <x:c r="D16" s="35"/>
      <x:c r="E16" s="35"/>
      <x:c r="F16" s="35"/>
      <x:c r="G16" s="35"/>
      <x:c r="H16" s="35"/>
    </x:row>
    <x:row r="17">
      <x:c r="A17" s="26" t="str">
        <x:v>Step</x:v>
      </x:c>
      <x:c r="B17" s="26" t="str">
        <x:v>Operation</x:v>
      </x:c>
      <x:c r="C17" s="26" t="str">
        <x:v>Action / Condition</x:v>
      </x:c>
      <x:c r="D17" s="26" t="str">
        <x:v>Reads</x:v>
      </x:c>
      <x:c r="E17" s="26" t="str">
        <x:v>Writes</x:v>
      </x:c>
      <x:c r="F17" s="26" t="str">
        <x:v>Guard</x:v>
      </x:c>
      <x:c r="G17" s="26" t="str">
        <x:v>Failure</x:v>
      </x:c>
      <x:c r="H17" s="26" t="str">
        <x:v>Evidence</x:v>
      </x:c>
    </x:row>
    <x:row r="18">
      <x:c r="A18" s="28" t="n">
        <x:v>1</x:v>
      </x:c>
      <x:c r="B18" s="28" t="str">
        <x:v>REQUIRE</x:v>
      </x:c>
      <x:c r="C18" s="28" t="str">
        <x:v>prose_request is non-empty</x:v>
      </x:c>
      <x:c r="D18" s="28" t="str">
        <x:v>PAR0001</x:v>
      </x:c>
      <x:c r="E18" s="28" t="str"/>
      <x:c r="F18" s="28" t="str">
        <x:v>non-empty</x:v>
      </x:c>
      <x:c r="G18" s="28" t="str">
        <x:v>BLOCK</x:v>
      </x:c>
      <x:c r="H18" s="28" t="str">
        <x:v>input validation</x:v>
      </x:c>
    </x:row>
    <x:row r="19">
      <x:c r="A19" s="28" t="n">
        <x:v>2</x:v>
      </x:c>
      <x:c r="B19" s="28" t="str">
        <x:v>SPLIT</x:v>
      </x:c>
      <x:c r="C19" s="28" t="str">
        <x:v>separate request into atomic statements</x:v>
      </x:c>
      <x:c r="D19" s="28" t="str">
        <x:v>PAR0001</x:v>
      </x:c>
      <x:c r="E19" s="28" t="str">
        <x:v>OBJ0002</x:v>
      </x:c>
      <x:c r="F19" s="28" t="str">
        <x:v>preserve source linkage</x:v>
      </x:c>
      <x:c r="G19" s="28" t="str">
        <x:v>BLOCK if uninterpretable</x:v>
      </x:c>
      <x:c r="H19" s="28" t="str">
        <x:v>Intent_ID rows</x:v>
      </x:c>
    </x:row>
    <x:row r="20">
      <x:c r="A20" s="28" t="n">
        <x:v>3</x:v>
      </x:c>
      <x:c r="B20" s="28" t="str">
        <x:v>TAG</x:v>
      </x:c>
      <x:c r="C20" s="28" t="str">
        <x:v>assign Intent_ID and Source</x:v>
      </x:c>
      <x:c r="D20" s="28" t="str">
        <x:v>PAR0001</x:v>
      </x:c>
      <x:c r="E20" s="28" t="str">
        <x:v>OBJ0002</x:v>
      </x:c>
      <x:c r="F20" s="28" t="str">
        <x:v>unique ID</x:v>
      </x:c>
      <x:c r="G20" s="28" t="str">
        <x:v>BLOCK duplicate</x:v>
      </x:c>
      <x:c r="H20" s="28" t="str">
        <x:v>registry row</x:v>
      </x:c>
    </x:row>
    <x:row r="21">
      <x:c r="A21" s="28" t="n">
        <x:v>4</x:v>
      </x:c>
      <x:c r="B21" s="28" t="str">
        <x:v>SET_STATE</x:v>
      </x:c>
      <x:c r="C21" s="28" t="str">
        <x:v>Status=DRAFT; Human_Approved=NO</x:v>
      </x:c>
      <x:c r="D21" s="28" t="str">
        <x:v>OBJ0002</x:v>
      </x:c>
      <x:c r="E21" s="28" t="str">
        <x:v>OBJ0002</x:v>
      </x:c>
      <x:c r="F21" s="28" t="str"/>
      <x:c r="G21" s="28" t="str"/>
      <x:c r="H21" s="28" t="str">
        <x:v>explicit state</x:v>
      </x:c>
    </x:row>
    <x:row r="22">
      <x:c r="A22" s="28" t="n">
        <x:v>5</x:v>
      </x:c>
      <x:c r="B22" s="28" t="str">
        <x:v>RETURN</x:v>
      </x:c>
      <x:c r="C22" s="28" t="str">
        <x:v>return IntentRegistry reference</x:v>
      </x:c>
      <x:c r="D22" s="28" t="str">
        <x:v>OBJ0002</x:v>
      </x:c>
      <x:c r="E22" s="28" t="str">
        <x:v>PAR0002</x:v>
      </x:c>
      <x:c r="F22" s="28" t="str"/>
      <x:c r="G22" s="28" t="str"/>
      <x:c r="H22" s="28" t="str">
        <x:v>Param_ID binding</x:v>
      </x:c>
    </x:row>
  </x:sheetData>
  <x:mergeCells>
    <x:mergeCell ref="A1:H1"/>
    <x:mergeCell ref="A8:H8"/>
    <x:mergeCell ref="A12:H12"/>
    <x:mergeCell ref="A16:H1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F002 NormalizeIntent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F002</x:v>
      </x:c>
    </x:row>
    <x:row r="5">
      <x:c r="A5" s="27" t="str">
        <x:v>Function_Name</x:v>
      </x:c>
      <x:c r="B5" s="28" t="str">
        <x:v>NormalizeIntent</x:v>
      </x:c>
    </x:row>
    <x:row r="6">
      <x:c r="A6" s="27" t="str">
        <x:v>Purpose</x:v>
      </x:c>
      <x:c r="B6" s="28" t="str">
        <x:v>Translate atomic intent into explicit code-shaped scope, state, authority and acceptance semantics.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PAR0003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DRAFT rows</x:v>
      </x:c>
    </x:row>
    <x:row r="12">
      <x:c r="A12" s="35" t="str">
        <x:v>Outputs</x:v>
      </x:c>
      <x:c r="B12" s="35"/>
      <x:c r="C12" s="35"/>
      <x:c r="D12" s="35"/>
      <x:c r="E12" s="35"/>
      <x:c r="F12" s="35"/>
      <x:c r="G12" s="35"/>
      <x:c r="H12" s="35"/>
    </x:row>
    <x:row r="13">
      <x:c r="A13" s="14" t="str">
        <x:v>Param_ID</x:v>
      </x:c>
      <x:c r="B13" s="14" t="str">
        <x:v>Name</x:v>
      </x:c>
      <x:c r="C13" s="14" t="str">
        <x:v>Object_ID</x:v>
      </x:c>
      <x:c r="D13" s="14" t="str">
        <x:v>Class</x:v>
      </x:c>
      <x:c r="E13" s="14" t="str">
        <x:v>Pass_Mode</x:v>
      </x:c>
      <x:c r="F13" s="14" t="str">
        <x:v>Validation</x:v>
      </x:c>
    </x:row>
    <x:row r="14">
      <x:c r="A14" t="str">
        <x:v>PAR0004</x:v>
      </x:c>
      <x:c r="B14" t="str">
        <x:v>intent_registry</x:v>
      </x:c>
      <x:c r="C14" t="str">
        <x:v>OBJ0002</x:v>
      </x:c>
      <x:c r="D14" t="str">
        <x:v>table</x:v>
      </x:c>
      <x:c r="E14" t="str">
        <x:v>ref</x:v>
      </x:c>
      <x:c r="F14" t="str">
        <x:v>translated rows</x:v>
      </x:c>
    </x:row>
    <x:row r="16">
      <x:c r="A16" s="35" t="str">
        <x:v>Algorithm / Pseudocode</x:v>
      </x:c>
      <x:c r="B16" s="35"/>
      <x:c r="C16" s="35"/>
      <x:c r="D16" s="35"/>
      <x:c r="E16" s="35"/>
      <x:c r="F16" s="35"/>
      <x:c r="G16" s="35"/>
      <x:c r="H16" s="35"/>
    </x:row>
    <x:row r="17">
      <x:c r="A17" s="26" t="str">
        <x:v>Step</x:v>
      </x:c>
      <x:c r="B17" s="26" t="str">
        <x:v>Operation</x:v>
      </x:c>
      <x:c r="C17" s="26" t="str">
        <x:v>Action / Condition</x:v>
      </x:c>
      <x:c r="D17" s="26" t="str">
        <x:v>Reads</x:v>
      </x:c>
      <x:c r="E17" s="26" t="str">
        <x:v>Writes</x:v>
      </x:c>
      <x:c r="F17" s="26" t="str">
        <x:v>Guard</x:v>
      </x:c>
      <x:c r="G17" s="26" t="str">
        <x:v>Failure</x:v>
      </x:c>
      <x:c r="H17" s="26" t="str">
        <x:v>Evidence</x:v>
      </x:c>
    </x:row>
    <x:row r="18">
      <x:c r="A18" s="28" t="n">
        <x:v>1</x:v>
      </x:c>
      <x:c r="B18" s="28" t="str">
        <x:v>FOR_EACH</x:v>
      </x:c>
      <x:c r="C18" s="28" t="str">
        <x:v>iterate DRAFT Intent_ID</x:v>
      </x:c>
      <x:c r="D18" s="28" t="str">
        <x:v>OBJ0002</x:v>
      </x:c>
      <x:c r="E18" s="28" t="str"/>
      <x:c r="F18" s="28" t="str"/>
      <x:c r="G18" s="28" t="str"/>
      <x:c r="H18" s="28" t="str">
        <x:v>Intent_ID</x:v>
      </x:c>
    </x:row>
    <x:row r="19">
      <x:c r="A19" s="28" t="n">
        <x:v>2</x:v>
      </x:c>
      <x:c r="B19" s="28" t="str">
        <x:v>DECLARE_SCOPE</x:v>
      </x:c>
      <x:c r="C19" s="28" t="str">
        <x:v>name exact object/process scope</x:v>
      </x:c>
      <x:c r="D19" s="28" t="str">
        <x:v>OBJ0002</x:v>
      </x:c>
      <x:c r="E19" s="28" t="str">
        <x:v>OBJ0002</x:v>
      </x:c>
      <x:c r="F19" s="28" t="str">
        <x:v>do not infer from inherited code</x:v>
      </x:c>
      <x:c r="G19" s="28" t="str">
        <x:v>create ambiguity</x:v>
      </x:c>
      <x:c r="H19" s="28" t="str">
        <x:v>Object_Scope</x:v>
      </x:c>
    </x:row>
    <x:row r="20">
      <x:c r="A20" s="28" t="n">
        <x:v>3</x:v>
      </x:c>
      <x:c r="B20" s="28" t="str">
        <x:v>DECLARE_AUTHORITY</x:v>
      </x:c>
      <x:c r="C20" s="28" t="str">
        <x:v>assign translation/human/compiler/verification authority</x:v>
      </x:c>
      <x:c r="D20" s="28" t="str">
        <x:v>OBJ0002</x:v>
      </x:c>
      <x:c r="E20" s="28" t="str">
        <x:v>OBJ0002</x:v>
      </x:c>
      <x:c r="F20" s="28" t="str"/>
      <x:c r="G20" s="28" t="str">
        <x:v>create ambiguity if unclear</x:v>
      </x:c>
      <x:c r="H20" s="28" t="str">
        <x:v>Authority</x:v>
      </x:c>
    </x:row>
    <x:row r="21">
      <x:c r="A21" s="28" t="n">
        <x:v>4</x:v>
      </x:c>
      <x:c r="B21" s="28" t="str">
        <x:v>DECLARE_STATE</x:v>
      </x:c>
      <x:c r="C21" s="28" t="str">
        <x:v>write state/transition semantics</x:v>
      </x:c>
      <x:c r="D21" s="28" t="str">
        <x:v>OBJ0002</x:v>
      </x:c>
      <x:c r="E21" s="28" t="str">
        <x:v>OBJ0002</x:v>
      </x:c>
      <x:c r="F21" s="28" t="str">
        <x:v>required for lifecycle behavior</x:v>
      </x:c>
      <x:c r="G21" s="28" t="str">
        <x:v>create ambiguity if unclear</x:v>
      </x:c>
      <x:c r="H21" s="28" t="str">
        <x:v>State_or_Transition</x:v>
      </x:c>
    </x:row>
    <x:row r="22">
      <x:c r="A22" s="28" t="n">
        <x:v>5</x:v>
      </x:c>
      <x:c r="B22" s="28" t="str">
        <x:v>DECLARE_ACCEPTANCE</x:v>
      </x:c>
      <x:c r="C22" s="28" t="str">
        <x:v>write checkable acceptance criterion</x:v>
      </x:c>
      <x:c r="D22" s="28" t="str">
        <x:v>OBJ0002</x:v>
      </x:c>
      <x:c r="E22" s="28" t="str">
        <x:v>OBJ0002</x:v>
      </x:c>
      <x:c r="F22" s="28" t="str"/>
      <x:c r="G22" s="28" t="str">
        <x:v>BLOCK commit if absent</x:v>
      </x:c>
      <x:c r="H22" s="28" t="str">
        <x:v>Acceptance_Criterion</x:v>
      </x:c>
    </x:row>
    <x:row r="23">
      <x:c r="A23" s="28" t="n">
        <x:v>6</x:v>
      </x:c>
      <x:c r="B23" s="28" t="str">
        <x:v>SET_STATE</x:v>
      </x:c>
      <x:c r="C23" s="28" t="str">
        <x:v>Status=TRANSLATED when required fields complete</x:v>
      </x:c>
      <x:c r="D23" s="28" t="str">
        <x:v>OBJ0002</x:v>
      </x:c>
      <x:c r="E23" s="28" t="str">
        <x:v>OBJ0002</x:v>
      </x:c>
      <x:c r="F23" s="28" t="str">
        <x:v>all required fields present</x:v>
      </x:c>
      <x:c r="G23" s="28" t="str">
        <x:v>remain DRAFT otherwise</x:v>
      </x:c>
      <x:c r="H23" s="28" t="str">
        <x:v>Status</x:v>
      </x:c>
    </x:row>
  </x:sheetData>
  <x:mergeCells>
    <x:mergeCell ref="A1:H1"/>
    <x:mergeCell ref="A8:H8"/>
    <x:mergeCell ref="A12:H12"/>
    <x:mergeCell ref="A16:H1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F003 DeclareObjects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F003</x:v>
      </x:c>
    </x:row>
    <x:row r="5">
      <x:c r="A5" s="27" t="str">
        <x:v>Function_Name</x:v>
      </x:c>
      <x:c r="B5" s="28" t="str">
        <x:v>DeclareObjects</x:v>
      </x:c>
    </x:row>
    <x:row r="6">
      <x:c r="A6" s="27" t="str">
        <x:v>Purpose</x:v>
      </x:c>
      <x:c r="B6" s="28" t="str">
        <x:v>Create typed, addressed objects so data never depends on implicit spreadsheet meaning.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PAR0005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translated</x:v>
      </x:c>
    </x:row>
    <x:row r="12">
      <x:c r="A12" s="35" t="str">
        <x:v>Outputs</x:v>
      </x:c>
      <x:c r="B12" s="35"/>
      <x:c r="C12" s="35"/>
      <x:c r="D12" s="35"/>
      <x:c r="E12" s="35"/>
      <x:c r="F12" s="35"/>
      <x:c r="G12" s="35"/>
      <x:c r="H12" s="35"/>
    </x:row>
    <x:row r="13">
      <x:c r="A13" s="14" t="str">
        <x:v>Param_ID</x:v>
      </x:c>
      <x:c r="B13" s="14" t="str">
        <x:v>Name</x:v>
      </x:c>
      <x:c r="C13" s="14" t="str">
        <x:v>Object_ID</x:v>
      </x:c>
      <x:c r="D13" s="14" t="str">
        <x:v>Class</x:v>
      </x:c>
      <x:c r="E13" s="14" t="str">
        <x:v>Pass_Mode</x:v>
      </x:c>
      <x:c r="F13" s="14" t="str">
        <x:v>Validation</x:v>
      </x:c>
    </x:row>
    <x:row r="14">
      <x:c r="A14" t="str">
        <x:v>PAR0006</x:v>
      </x:c>
      <x:c r="B14" t="str">
        <x:v>object_registry</x:v>
      </x:c>
      <x:c r="C14" t="str">
        <x:v>OBJ0003</x:v>
      </x:c>
      <x:c r="D14" t="str">
        <x:v>table</x:v>
      </x:c>
      <x:c r="E14" t="str">
        <x:v>ref</x:v>
      </x:c>
      <x:c r="F14" t="str">
        <x:v>fully described objects</x:v>
      </x:c>
    </x:row>
    <x:row r="16">
      <x:c r="A16" s="35" t="str">
        <x:v>Algorithm / Pseudocode</x:v>
      </x:c>
      <x:c r="B16" s="35"/>
      <x:c r="C16" s="35"/>
      <x:c r="D16" s="35"/>
      <x:c r="E16" s="35"/>
      <x:c r="F16" s="35"/>
      <x:c r="G16" s="35"/>
      <x:c r="H16" s="35"/>
    </x:row>
    <x:row r="17">
      <x:c r="A17" s="26" t="str">
        <x:v>Step</x:v>
      </x:c>
      <x:c r="B17" s="26" t="str">
        <x:v>Operation</x:v>
      </x:c>
      <x:c r="C17" s="26" t="str">
        <x:v>Action / Condition</x:v>
      </x:c>
      <x:c r="D17" s="26" t="str">
        <x:v>Reads</x:v>
      </x:c>
      <x:c r="E17" s="26" t="str">
        <x:v>Writes</x:v>
      </x:c>
      <x:c r="F17" s="26" t="str">
        <x:v>Guard</x:v>
      </x:c>
      <x:c r="G17" s="26" t="str">
        <x:v>Failure</x:v>
      </x:c>
      <x:c r="H17" s="26" t="str">
        <x:v>Evidence</x:v>
      </x:c>
    </x:row>
    <x:row r="18">
      <x:c r="A18" s="28" t="n">
        <x:v>1</x:v>
      </x:c>
      <x:c r="B18" s="28" t="str">
        <x:v>EXTRACT</x:v>
      </x:c>
      <x:c r="C18" s="28" t="str">
        <x:v>identify every datum/state/collection</x:v>
      </x:c>
      <x:c r="D18" s="28" t="str">
        <x:v>OBJ0002</x:v>
      </x:c>
      <x:c r="E18" s="28" t="str"/>
      <x:c r="F18" s="28" t="str"/>
      <x:c r="G18" s="28" t="str"/>
      <x:c r="H18" s="28" t="str">
        <x:v>candidate objects</x:v>
      </x:c>
    </x:row>
    <x:row r="19">
      <x:c r="A19" s="28" t="n">
        <x:v>2</x:v>
      </x:c>
      <x:c r="B19" s="28" t="str">
        <x:v>ALLOCATE_ID</x:v>
      </x:c>
      <x:c r="C19" s="28" t="str">
        <x:v>assign stable Object_ID</x:v>
      </x:c>
      <x:c r="D19" s="28" t="str">
        <x:v>candidate</x:v>
      </x:c>
      <x:c r="E19" s="28" t="str">
        <x:v>OBJ0003</x:v>
      </x:c>
      <x:c r="F19" s="28" t="str">
        <x:v>unique ID</x:v>
      </x:c>
      <x:c r="G19" s="28" t="str">
        <x:v>BLOCK duplicate</x:v>
      </x:c>
      <x:c r="H19" s="28" t="str">
        <x:v>Object_ID</x:v>
      </x:c>
    </x:row>
    <x:row r="20">
      <x:c r="A20" s="28" t="n">
        <x:v>3</x:v>
      </x:c>
      <x:c r="B20" s="28" t="str">
        <x:v>DECLARE_ADDRESS</x:v>
      </x:c>
      <x:c r="C20" s="28" t="str">
        <x:v>Workbook + Worksheet + Anchor</x:v>
      </x:c>
      <x:c r="D20" s="28" t="str">
        <x:v>candidate</x:v>
      </x:c>
      <x:c r="E20" s="28" t="str">
        <x:v>OBJ0003</x:v>
      </x:c>
      <x:c r="F20" s="28" t="str">
        <x:v>planned address allowed</x:v>
      </x:c>
      <x:c r="G20" s="28" t="str">
        <x:v>BLOCK unresolved</x:v>
      </x:c>
      <x:c r="H20" s="28" t="str">
        <x:v>address fields</x:v>
      </x:c>
    </x:row>
    <x:row r="21">
      <x:c r="A21" s="28" t="n">
        <x:v>4</x:v>
      </x:c>
      <x:c r="B21" s="28" t="str">
        <x:v>DECLARE_SHAPE</x:v>
      </x:c>
      <x:c r="C21" s="28" t="str">
        <x:v>Rank + Dim1 + Dim2 + Dim3</x:v>
      </x:c>
      <x:c r="D21" s="28" t="str">
        <x:v>candidate</x:v>
      </x:c>
      <x:c r="E21" s="28" t="str">
        <x:v>OBJ0003</x:v>
      </x:c>
      <x:c r="F21" s="28" t="str">
        <x:v>Rank 0..3</x:v>
      </x:c>
      <x:c r="G21" s="28" t="str">
        <x:v>BLOCK unresolved</x:v>
      </x:c>
      <x:c r="H21" s="28" t="str">
        <x:v>shape fields</x:v>
      </x:c>
    </x:row>
    <x:row r="22">
      <x:c r="A22" s="28" t="n">
        <x:v>5</x:v>
      </x:c>
      <x:c r="B22" s="28" t="str">
        <x:v>DECLARE_TYPE</x:v>
      </x:c>
      <x:c r="C22" s="28" t="str">
        <x:v>Class + DType</x:v>
      </x:c>
      <x:c r="D22" s="28" t="str">
        <x:v>candidate</x:v>
      </x:c>
      <x:c r="E22" s="28" t="str">
        <x:v>OBJ0003</x:v>
      </x:c>
      <x:c r="F22" s="28" t="str"/>
      <x:c r="G22" s="28" t="str">
        <x:v>BLOCK unresolved</x:v>
      </x:c>
      <x:c r="H22" s="28" t="str">
        <x:v>type fields</x:v>
      </x:c>
    </x:row>
    <x:row r="23">
      <x:c r="A23" s="28" t="n">
        <x:v>6</x:v>
      </x:c>
      <x:c r="B23" s="28" t="str">
        <x:v>DECLARE_GOV</x:v>
      </x:c>
      <x:c r="C23" s="28" t="str">
        <x:v>Scope + Mutable + Owner_Function + Lifecycle</x:v>
      </x:c>
      <x:c r="D23" s="28" t="str">
        <x:v>candidate</x:v>
      </x:c>
      <x:c r="E23" s="28" t="str">
        <x:v>OBJ0003</x:v>
      </x:c>
      <x:c r="F23" s="28" t="str"/>
      <x:c r="G23" s="28" t="str">
        <x:v>BLOCK unresolved</x:v>
      </x:c>
      <x:c r="H23" s="28" t="str">
        <x:v>governance fields</x:v>
      </x:c>
    </x:row>
    <x:row r="24">
      <x:c r="A24" s="28" t="n">
        <x:v>7</x:v>
      </x:c>
      <x:c r="B24" s="28" t="str">
        <x:v>DERIVE_REF</x:v>
      </x:c>
      <x:c r="C24" s="28" t="str">
        <x:v>derive Shape + Compact_REF</x:v>
      </x:c>
      <x:c r="D24" s="28" t="str">
        <x:v>OBJ0003</x:v>
      </x:c>
      <x:c r="E24" s="28" t="str">
        <x:v>OBJ0003</x:v>
      </x:c>
      <x:c r="F24" s="28" t="str">
        <x:v>display is not identity</x:v>
      </x:c>
      <x:c r="G24" s="28" t="str"/>
      <x:c r="H24" s="28" t="str">
        <x:v>Q/R columns</x:v>
      </x:c>
    </x:row>
  </x:sheetData>
  <x:mergeCells>
    <x:mergeCell ref="A1:H1"/>
    <x:mergeCell ref="A8:H8"/>
    <x:mergeCell ref="A12:H12"/>
    <x:mergeCell ref="A16:H1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F004 BindFunctionIO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F004</x:v>
      </x:c>
    </x:row>
    <x:row r="5">
      <x:c r="A5" s="27" t="str">
        <x:v>Function_Name</x:v>
      </x:c>
      <x:c r="B5" s="28" t="str">
        <x:v>BindFunctionIO</x:v>
      </x:c>
    </x:row>
    <x:row r="6">
      <x:c r="A6" s="27" t="str">
        <x:v>Purpose</x:v>
      </x:c>
      <x:c r="B6" s="28" t="str">
        <x:v>Bind every function input/output to explicit parameter and object records.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PAR0007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translated</x:v>
      </x:c>
    </x:row>
    <x:row r="11">
      <x:c r="A11" t="str">
        <x:v>PAR0008</x:v>
      </x:c>
      <x:c r="B11" t="str">
        <x:v>object_registry</x:v>
      </x:c>
      <x:c r="C11" t="str">
        <x:v>OBJ0003</x:v>
      </x:c>
      <x:c r="D11" t="str">
        <x:v>table</x:v>
      </x:c>
      <x:c r="E11" t="str">
        <x:v>ref</x:v>
      </x:c>
      <x:c r="F11" t="str">
        <x:v>resolved</x:v>
      </x:c>
    </x:row>
    <x:row r="12">
      <x:c r="A12" t="str">
        <x:v>PAR0009</x:v>
      </x:c>
      <x:c r="B12" t="str">
        <x:v>function_registry</x:v>
      </x:c>
      <x:c r="C12" t="str">
        <x:v>OBJ0005</x:v>
      </x:c>
      <x:c r="D12" t="str">
        <x:v>table</x:v>
      </x:c>
      <x:c r="E12" t="str">
        <x:v>ref</x:v>
      </x:c>
      <x:c r="F12" t="str">
        <x:v>declared</x:v>
      </x:c>
    </x:row>
    <x:row r="14">
      <x:c r="A14" s="35" t="str">
        <x:v>Outputs</x:v>
      </x:c>
      <x:c r="B14" s="35"/>
      <x:c r="C14" s="35"/>
      <x:c r="D14" s="35"/>
      <x:c r="E14" s="35"/>
      <x:c r="F14" s="35"/>
      <x:c r="G14" s="35"/>
      <x:c r="H14" s="35"/>
    </x:row>
    <x:row r="15">
      <x:c r="A15" s="14" t="str">
        <x:v>Param_ID</x:v>
      </x:c>
      <x:c r="B15" s="14" t="str">
        <x:v>Name</x:v>
      </x:c>
      <x:c r="C15" s="14" t="str">
        <x:v>Object_ID</x:v>
      </x:c>
      <x:c r="D15" s="14" t="str">
        <x:v>Class</x:v>
      </x:c>
      <x:c r="E15" s="14" t="str">
        <x:v>Pass_Mode</x:v>
      </x:c>
      <x:c r="F15" s="14" t="str">
        <x:v>Validation</x:v>
      </x:c>
    </x:row>
    <x:row r="16">
      <x:c r="A16" t="str">
        <x:v>PAR0010</x:v>
      </x:c>
      <x:c r="B16" t="str">
        <x:v>parameter_registry</x:v>
      </x:c>
      <x:c r="C16" t="str">
        <x:v>OBJ0004</x:v>
      </x:c>
      <x:c r="D16" t="str">
        <x:v>table</x:v>
      </x:c>
      <x:c r="E16" t="str">
        <x:v>ref</x:v>
      </x:c>
      <x:c r="F16" t="str">
        <x:v>bound I/O</x:v>
      </x:c>
    </x:row>
    <x:row r="18">
      <x:c r="A18" s="35" t="str">
        <x:v>Algorithm / Pseudocode</x:v>
      </x:c>
      <x:c r="B18" s="35"/>
      <x:c r="C18" s="35"/>
      <x:c r="D18" s="35"/>
      <x:c r="E18" s="35"/>
      <x:c r="F18" s="35"/>
      <x:c r="G18" s="35"/>
      <x:c r="H18" s="35"/>
    </x:row>
    <x:row r="19">
      <x:c r="A19" s="26" t="str">
        <x:v>Step</x:v>
      </x:c>
      <x:c r="B19" s="26" t="str">
        <x:v>Operation</x:v>
      </x:c>
      <x:c r="C19" s="26" t="str">
        <x:v>Action / Condition</x:v>
      </x:c>
      <x:c r="D19" s="26" t="str">
        <x:v>Reads</x:v>
      </x:c>
      <x:c r="E19" s="26" t="str">
        <x:v>Writes</x:v>
      </x:c>
      <x:c r="F19" s="26" t="str">
        <x:v>Guard</x:v>
      </x:c>
      <x:c r="G19" s="26" t="str">
        <x:v>Failure</x:v>
      </x:c>
      <x:c r="H19" s="26" t="str">
        <x:v>Evidence</x:v>
      </x:c>
    </x:row>
    <x:row r="20">
      <x:c r="A20" s="28" t="n">
        <x:v>1</x:v>
      </x:c>
      <x:c r="B20" s="28" t="str">
        <x:v>FOR_EACH</x:v>
      </x:c>
      <x:c r="C20" s="28" t="str">
        <x:v>iterate Function_ID</x:v>
      </x:c>
      <x:c r="D20" s="28" t="str">
        <x:v>OBJ0005</x:v>
      </x:c>
      <x:c r="E20" s="28" t="str"/>
      <x:c r="F20" s="28" t="str"/>
      <x:c r="G20" s="28" t="str"/>
      <x:c r="H20" s="28" t="str">
        <x:v>Function_ID</x:v>
      </x:c>
    </x:row>
    <x:row r="21">
      <x:c r="A21" s="28" t="n">
        <x:v>2</x:v>
      </x:c>
      <x:c r="B21" s="28" t="str">
        <x:v>DECLARE_INPUTS</x:v>
      </x:c>
      <x:c r="C21" s="28" t="str">
        <x:v>create ordered IN/INOUT Param_ID rows</x:v>
      </x:c>
      <x:c r="D21" s="28" t="str">
        <x:v>OBJ0005</x:v>
      </x:c>
      <x:c r="E21" s="28" t="str">
        <x:v>OBJ0004</x:v>
      </x:c>
      <x:c r="F21" s="28" t="str"/>
      <x:c r="G21" s="28" t="str">
        <x:v>BLOCK missing object</x:v>
      </x:c>
      <x:c r="H21" s="28" t="str">
        <x:v>Param_ID</x:v>
      </x:c>
    </x:row>
    <x:row r="22">
      <x:c r="A22" s="28" t="n">
        <x:v>3</x:v>
      </x:c>
      <x:c r="B22" s="28" t="str">
        <x:v>DECLARE_OUTPUTS</x:v>
      </x:c>
      <x:c r="C22" s="28" t="str">
        <x:v>create ordered OUT/INOUT Param_ID rows</x:v>
      </x:c>
      <x:c r="D22" s="28" t="str">
        <x:v>OBJ0005</x:v>
      </x:c>
      <x:c r="E22" s="28" t="str">
        <x:v>OBJ0004</x:v>
      </x:c>
      <x:c r="F22" s="28" t="str"/>
      <x:c r="G22" s="28" t="str">
        <x:v>BLOCK missing object</x:v>
      </x:c>
      <x:c r="H22" s="28" t="str">
        <x:v>Param_ID</x:v>
      </x:c>
    </x:row>
    <x:row r="23">
      <x:c r="A23" s="28" t="n">
        <x:v>4</x:v>
      </x:c>
      <x:c r="B23" s="28" t="str">
        <x:v>BIND_OBJECT</x:v>
      </x:c>
      <x:c r="C23" s="28" t="str">
        <x:v>set Object_ID</x:v>
      </x:c>
      <x:c r="D23" s="28" t="str">
        <x:v>OBJ0003</x:v>
      </x:c>
      <x:c r="E23" s="28" t="str">
        <x:v>OBJ0004</x:v>
      </x:c>
      <x:c r="F23" s="28" t="str">
        <x:v>Object_ID must resolve</x:v>
      </x:c>
      <x:c r="G23" s="28" t="str">
        <x:v>BLOCK unresolved</x:v>
      </x:c>
      <x:c r="H23" s="28" t="str">
        <x:v>Object_ID</x:v>
      </x:c>
    </x:row>
    <x:row r="24">
      <x:c r="A24" s="28" t="n">
        <x:v>5</x:v>
      </x:c>
      <x:c r="B24" s="28" t="str">
        <x:v>DECLARE_PASS_MODE</x:v>
      </x:c>
      <x:c r="C24" s="28" t="str">
        <x:v>value or ref</x:v>
      </x:c>
      <x:c r="D24" s="28" t="str">
        <x:v>OBJ0004</x:v>
      </x:c>
      <x:c r="E24" s="28" t="str">
        <x:v>OBJ0004</x:v>
      </x:c>
      <x:c r="F24" s="28" t="str"/>
      <x:c r="G24" s="28" t="str">
        <x:v>BLOCK missing</x:v>
      </x:c>
      <x:c r="H24" s="28" t="str">
        <x:v>Pass_Mode</x:v>
      </x:c>
    </x:row>
    <x:row r="25">
      <x:c r="A25" s="28" t="n">
        <x:v>6</x:v>
      </x:c>
      <x:c r="B25" s="28" t="str">
        <x:v>DECLARE_VALIDATION</x:v>
      </x:c>
      <x:c r="C25" s="28" t="str">
        <x:v>parameter validity rule</x:v>
      </x:c>
      <x:c r="D25" s="28" t="str">
        <x:v>OBJ0004</x:v>
      </x:c>
      <x:c r="E25" s="28" t="str">
        <x:v>OBJ0004</x:v>
      </x:c>
      <x:c r="F25" s="28" t="str"/>
      <x:c r="G25" s="28" t="str">
        <x:v>BLOCK missing required validation</x:v>
      </x:c>
      <x:c r="H25" s="28" t="str">
        <x:v>Validation</x:v>
      </x:c>
    </x:row>
    <x:row r="26">
      <x:c r="A26" s="28" t="n">
        <x:v>7</x:v>
      </x:c>
      <x:c r="B26" s="28" t="str">
        <x:v>VERIFY_POINTER</x:v>
      </x:c>
      <x:c r="C26" s="28" t="str">
        <x:v>display compact ref; identity remains Object_ID</x:v>
      </x:c>
      <x:c r="D26" s="28" t="str">
        <x:v>OBJ0003</x:v>
      </x:c>
      <x:c r="E26" s="28" t="str">
        <x:v>OBJ0004</x:v>
      </x:c>
      <x:c r="F26" s="28" t="str"/>
      <x:c r="G26" s="28" t="str">
        <x:v>BLOCK if UNRESOLVED</x:v>
      </x:c>
      <x:c r="H26" s="28" t="str">
        <x:v>Pointer_Display</x:v>
      </x:c>
    </x:row>
  </x:sheetData>
  <x:mergeCells>
    <x:mergeCell ref="A1:H1"/>
    <x:mergeCell ref="A8:H8"/>
    <x:mergeCell ref="A14:H14"/>
    <x:mergeCell ref="A18:H1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F005 DeclareTransitions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F005</x:v>
      </x:c>
    </x:row>
    <x:row r="5">
      <x:c r="A5" s="27" t="str">
        <x:v>Function_Name</x:v>
      </x:c>
      <x:c r="B5" s="28" t="str">
        <x:v>DeclareTransitions</x:v>
      </x:c>
    </x:row>
    <x:row r="6">
      <x:c r="A6" s="27" t="str">
        <x:v>Purpose</x:v>
      </x:c>
      <x:c r="B6" s="28" t="str">
        <x:v>Make lifecycle scope and failure semantics explicit.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PAR0011</x:v>
      </x:c>
      <x:c r="B10" t="str">
        <x:v>function_registry</x:v>
      </x:c>
      <x:c r="C10" t="str">
        <x:v>OBJ0005</x:v>
      </x:c>
      <x:c r="D10" t="str">
        <x:v>table</x:v>
      </x:c>
      <x:c r="E10" t="str">
        <x:v>ref</x:v>
      </x:c>
      <x:c r="F10" t="str">
        <x:v>declared</x:v>
      </x:c>
    </x:row>
    <x:row r="11">
      <x:c r="A11" t="str">
        <x:v>PAR0012</x:v>
      </x:c>
      <x:c r="B11" t="str">
        <x:v>object_registry</x:v>
      </x:c>
      <x:c r="C11" t="str">
        <x:v>OBJ0003</x:v>
      </x:c>
      <x:c r="D11" t="str">
        <x:v>table</x:v>
      </x:c>
      <x:c r="E11" t="str">
        <x:v>ref</x:v>
      </x:c>
      <x:c r="F11" t="str">
        <x:v>state objects</x:v>
      </x:c>
    </x:row>
    <x:row r="13">
      <x:c r="A13" s="35" t="str">
        <x:v>Outputs</x:v>
      </x:c>
      <x:c r="B13" s="35"/>
      <x:c r="C13" s="35"/>
      <x:c r="D13" s="35"/>
      <x:c r="E13" s="35"/>
      <x:c r="F13" s="35"/>
      <x:c r="G13" s="35"/>
      <x:c r="H13" s="35"/>
    </x:row>
    <x:row r="14">
      <x:c r="A14" s="14" t="str">
        <x:v>Param_ID</x:v>
      </x:c>
      <x:c r="B14" s="14" t="str">
        <x:v>Name</x:v>
      </x:c>
      <x:c r="C14" s="14" t="str">
        <x:v>Object_ID</x:v>
      </x:c>
      <x:c r="D14" s="14" t="str">
        <x:v>Class</x:v>
      </x:c>
      <x:c r="E14" s="14" t="str">
        <x:v>Pass_Mode</x:v>
      </x:c>
      <x:c r="F14" s="14" t="str">
        <x:v>Validation</x:v>
      </x:c>
    </x:row>
    <x:row r="15">
      <x:c r="A15" t="str">
        <x:v>PAR0013</x:v>
      </x:c>
      <x:c r="B15" t="str">
        <x:v>transition_registry</x:v>
      </x:c>
      <x:c r="C15" t="str">
        <x:v>OBJ0006</x:v>
      </x:c>
      <x:c r="D15" t="str">
        <x:v>table</x:v>
      </x:c>
      <x:c r="E15" t="str">
        <x:v>ref</x:v>
      </x:c>
      <x:c r="F15" t="str">
        <x:v>explicit transitions</x:v>
      </x:c>
    </x:row>
    <x:row r="17">
      <x:c r="A17" s="35" t="str">
        <x:v>Algorithm / Pseudocode</x:v>
      </x:c>
      <x:c r="B17" s="35"/>
      <x:c r="C17" s="35"/>
      <x:c r="D17" s="35"/>
      <x:c r="E17" s="35"/>
      <x:c r="F17" s="35"/>
      <x:c r="G17" s="35"/>
      <x:c r="H17" s="35"/>
    </x:row>
    <x:row r="18">
      <x:c r="A18" s="26" t="str">
        <x:v>Step</x:v>
      </x:c>
      <x:c r="B18" s="26" t="str">
        <x:v>Operation</x:v>
      </x:c>
      <x:c r="C18" s="26" t="str">
        <x:v>Action / Condition</x:v>
      </x:c>
      <x:c r="D18" s="26" t="str">
        <x:v>Reads</x:v>
      </x:c>
      <x:c r="E18" s="26" t="str">
        <x:v>Writes</x:v>
      </x:c>
      <x:c r="F18" s="26" t="str">
        <x:v>Guard</x:v>
      </x:c>
      <x:c r="G18" s="26" t="str">
        <x:v>Failure</x:v>
      </x:c>
      <x:c r="H18" s="26" t="str">
        <x:v>Evidence</x:v>
      </x:c>
    </x:row>
    <x:row r="19">
      <x:c r="A19" s="28" t="n">
        <x:v>1</x:v>
      </x:c>
      <x:c r="B19" s="28" t="str">
        <x:v>IDENTIFY</x:v>
      </x:c>
      <x:c r="C19" s="28" t="str">
        <x:v>find stateful behaviors</x:v>
      </x:c>
      <x:c r="D19" s="28" t="str">
        <x:v>OBJ0005</x:v>
      </x:c>
      <x:c r="E19" s="28" t="str"/>
      <x:c r="F19" s="28" t="str"/>
      <x:c r="G19" s="28" t="str"/>
      <x:c r="H19" s="28" t="str">
        <x:v>candidate transitions</x:v>
      </x:c>
    </x:row>
    <x:row r="20">
      <x:c r="A20" s="28" t="n">
        <x:v>2</x:v>
      </x:c>
      <x:c r="B20" s="28" t="str">
        <x:v>DECLARE</x:v>
      </x:c>
      <x:c r="C20" s="28" t="str">
        <x:v>From_State + Event + Guard + Action + To_State</x:v>
      </x:c>
      <x:c r="D20" s="28" t="str">
        <x:v>candidate</x:v>
      </x:c>
      <x:c r="E20" s="28" t="str">
        <x:v>OBJ0006</x:v>
      </x:c>
      <x:c r="F20" s="28" t="str"/>
      <x:c r="G20" s="28" t="str">
        <x:v>BLOCK incomplete</x:v>
      </x:c>
      <x:c r="H20" s="28" t="str">
        <x:v>transition row</x:v>
      </x:c>
    </x:row>
    <x:row r="21">
      <x:c r="A21" s="28" t="n">
        <x:v>3</x:v>
      </x:c>
      <x:c r="B21" s="28" t="str">
        <x:v>DECLARE_SCOPE</x:v>
      </x:c>
      <x:c r="C21" s="28" t="str">
        <x:v>name exact lifecycle object</x:v>
      </x:c>
      <x:c r="D21" s="28" t="str">
        <x:v>candidate</x:v>
      </x:c>
      <x:c r="E21" s="28" t="str">
        <x:v>OBJ0006</x:v>
      </x:c>
      <x:c r="F21" s="28" t="str">
        <x:v>scope explicit</x:v>
      </x:c>
      <x:c r="G21" s="28" t="str">
        <x:v>BLOCK implicit scope</x:v>
      </x:c>
      <x:c r="H21" s="28" t="str">
        <x:v>Scope</x:v>
      </x:c>
    </x:row>
    <x:row r="22">
      <x:c r="A22" s="28" t="n">
        <x:v>4</x:v>
      </x:c>
      <x:c r="B22" s="28" t="str">
        <x:v>DECLARE_FAILURE</x:v>
      </x:c>
      <x:c r="C22" s="28" t="str">
        <x:v>Failure_Action + Retry</x:v>
      </x:c>
      <x:c r="D22" s="28" t="str">
        <x:v>candidate</x:v>
      </x:c>
      <x:c r="E22" s="28" t="str">
        <x:v>OBJ0006</x:v>
      </x:c>
      <x:c r="F22" s="28" t="str"/>
      <x:c r="G22" s="28" t="str">
        <x:v>BLOCK implicit failure</x:v>
      </x:c>
      <x:c r="H22" s="28" t="str">
        <x:v>Failure_Action</x:v>
      </x:c>
    </x:row>
    <x:row r="23">
      <x:c r="A23" s="28" t="n">
        <x:v>5</x:v>
      </x:c>
      <x:c r="B23" s="28" t="str">
        <x:v>DECLARE_AUTHORITY</x:v>
      </x:c>
      <x:c r="C23" s="28" t="str">
        <x:v>declare trigger authority</x:v>
      </x:c>
      <x:c r="D23" s="28" t="str">
        <x:v>candidate</x:v>
      </x:c>
      <x:c r="E23" s="28" t="str">
        <x:v>OBJ0006</x:v>
      </x:c>
      <x:c r="F23" s="28" t="str"/>
      <x:c r="G23" s="28" t="str">
        <x:v>BLOCK missing authority</x:v>
      </x:c>
      <x:c r="H23" s="28" t="str">
        <x:v>Authority</x:v>
      </x:c>
    </x:row>
    <x:row r="24">
      <x:c r="A24" s="28" t="n">
        <x:v>6</x:v>
      </x:c>
      <x:c r="B24" s="28" t="str">
        <x:v>BIND_TEST</x:v>
      </x:c>
      <x:c r="C24" s="28" t="str">
        <x:v>link blocking Test_ID</x:v>
      </x:c>
      <x:c r="D24" s="28" t="str">
        <x:v>OBJ0007</x:v>
      </x:c>
      <x:c r="E24" s="28" t="str">
        <x:v>OBJ0006</x:v>
      </x:c>
      <x:c r="F24" s="28" t="str"/>
      <x:c r="G24" s="28" t="str">
        <x:v>BLOCK missing test</x:v>
      </x:c>
      <x:c r="H24" s="28" t="str">
        <x:v>Test_ID</x:v>
      </x:c>
    </x:row>
  </x:sheetData>
  <x:mergeCells>
    <x:mergeCell ref="A1:H1"/>
    <x:mergeCell ref="A8:H8"/>
    <x:mergeCell ref="A13:H13"/>
    <x:mergeCell ref="A17:H1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F006 GenerateQA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F006</x:v>
      </x:c>
    </x:row>
    <x:row r="5">
      <x:c r="A5" s="27" t="str">
        <x:v>Function_Name</x:v>
      </x:c>
      <x:c r="B5" s="28" t="str">
        <x:v>GenerateQA</x:v>
      </x:c>
    </x:row>
    <x:row r="6">
      <x:c r="A6" s="27" t="str">
        <x:v>Purpose</x:v>
      </x:c>
      <x:c r="B6" s="28" t="str">
        <x:v>Translate acceptance semantics into checkable tests before implementation.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PAR0014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criteria</x:v>
      </x:c>
    </x:row>
    <x:row r="11">
      <x:c r="A11" t="str">
        <x:v>PAR0015</x:v>
      </x:c>
      <x:c r="B11" t="str">
        <x:v>function_registry</x:v>
      </x:c>
      <x:c r="C11" t="str">
        <x:v>OBJ0005</x:v>
      </x:c>
      <x:c r="D11" t="str">
        <x:v>table</x:v>
      </x:c>
      <x:c r="E11" t="str">
        <x:v>ref</x:v>
      </x:c>
      <x:c r="F11" t="str">
        <x:v>semantics</x:v>
      </x:c>
    </x:row>
    <x:row r="12">
      <x:c r="A12" t="str">
        <x:v>PAR0016</x:v>
      </x:c>
      <x:c r="B12" t="str">
        <x:v>transition_registry</x:v>
      </x:c>
      <x:c r="C12" t="str">
        <x:v>OBJ0006</x:v>
      </x:c>
      <x:c r="D12" t="str">
        <x:v>table</x:v>
      </x:c>
      <x:c r="E12" t="str">
        <x:v>ref</x:v>
      </x:c>
      <x:c r="F12" t="str">
        <x:v>rules</x:v>
      </x:c>
    </x:row>
    <x:row r="14">
      <x:c r="A14" s="35" t="str">
        <x:v>Outputs</x:v>
      </x:c>
      <x:c r="B14" s="35"/>
      <x:c r="C14" s="35"/>
      <x:c r="D14" s="35"/>
      <x:c r="E14" s="35"/>
      <x:c r="F14" s="35"/>
      <x:c r="G14" s="35"/>
      <x:c r="H14" s="35"/>
    </x:row>
    <x:row r="15">
      <x:c r="A15" s="14" t="str">
        <x:v>Param_ID</x:v>
      </x:c>
      <x:c r="B15" s="14" t="str">
        <x:v>Name</x:v>
      </x:c>
      <x:c r="C15" s="14" t="str">
        <x:v>Object_ID</x:v>
      </x:c>
      <x:c r="D15" s="14" t="str">
        <x:v>Class</x:v>
      </x:c>
      <x:c r="E15" s="14" t="str">
        <x:v>Pass_Mode</x:v>
      </x:c>
      <x:c r="F15" s="14" t="str">
        <x:v>Validation</x:v>
      </x:c>
    </x:row>
    <x:row r="16">
      <x:c r="A16" t="str">
        <x:v>PAR0017</x:v>
      </x:c>
      <x:c r="B16" t="str">
        <x:v>qa_registry</x:v>
      </x:c>
      <x:c r="C16" t="str">
        <x:v>OBJ0007</x:v>
      </x:c>
      <x:c r="D16" t="str">
        <x:v>table</x:v>
      </x:c>
      <x:c r="E16" t="str">
        <x:v>ref</x:v>
      </x:c>
      <x:c r="F16" t="str">
        <x:v>blocking tests</x:v>
      </x:c>
    </x:row>
    <x:row r="18">
      <x:c r="A18" s="35" t="str">
        <x:v>Algorithm / Pseudocode</x:v>
      </x:c>
      <x:c r="B18" s="35"/>
      <x:c r="C18" s="35"/>
      <x:c r="D18" s="35"/>
      <x:c r="E18" s="35"/>
      <x:c r="F18" s="35"/>
      <x:c r="G18" s="35"/>
      <x:c r="H18" s="35"/>
    </x:row>
    <x:row r="19">
      <x:c r="A19" s="26" t="str">
        <x:v>Step</x:v>
      </x:c>
      <x:c r="B19" s="26" t="str">
        <x:v>Operation</x:v>
      </x:c>
      <x:c r="C19" s="26" t="str">
        <x:v>Action / Condition</x:v>
      </x:c>
      <x:c r="D19" s="26" t="str">
        <x:v>Reads</x:v>
      </x:c>
      <x:c r="E19" s="26" t="str">
        <x:v>Writes</x:v>
      </x:c>
      <x:c r="F19" s="26" t="str">
        <x:v>Guard</x:v>
      </x:c>
      <x:c r="G19" s="26" t="str">
        <x:v>Failure</x:v>
      </x:c>
      <x:c r="H19" s="26" t="str">
        <x:v>Evidence</x:v>
      </x:c>
    </x:row>
    <x:row r="20">
      <x:c r="A20" s="28" t="n">
        <x:v>1</x:v>
      </x:c>
      <x:c r="B20" s="28" t="str">
        <x:v>FOR_EACH</x:v>
      </x:c>
      <x:c r="C20" s="28" t="str">
        <x:v>iterate acceptance criterion / invariant</x:v>
      </x:c>
      <x:c r="D20" s="28" t="str">
        <x:v>OBJ0002,OBJ0006</x:v>
      </x:c>
      <x:c r="E20" s="28" t="str"/>
      <x:c r="F20" s="28" t="str"/>
      <x:c r="G20" s="28" t="str"/>
      <x:c r="H20" s="28" t="str">
        <x:v>requirement</x:v>
      </x:c>
    </x:row>
    <x:row r="21">
      <x:c r="A21" s="28" t="n">
        <x:v>2</x:v>
      </x:c>
      <x:c r="B21" s="28" t="str">
        <x:v>WRITE_GIVEN</x:v>
      </x:c>
      <x:c r="C21" s="28" t="str">
        <x:v>declare starting evidence/state</x:v>
      </x:c>
      <x:c r="D21" s="28" t="str">
        <x:v>requirement</x:v>
      </x:c>
      <x:c r="E21" s="28" t="str">
        <x:v>OBJ0007</x:v>
      </x:c>
      <x:c r="F21" s="28" t="str"/>
      <x:c r="G21" s="28" t="str">
        <x:v>BLOCK vague given</x:v>
      </x:c>
      <x:c r="H21" s="28" t="str">
        <x:v>Given</x:v>
      </x:c>
    </x:row>
    <x:row r="22">
      <x:c r="A22" s="28" t="n">
        <x:v>3</x:v>
      </x:c>
      <x:c r="B22" s="28" t="str">
        <x:v>WRITE_WHEN</x:v>
      </x:c>
      <x:c r="C22" s="28" t="str">
        <x:v>declare exact operation/event</x:v>
      </x:c>
      <x:c r="D22" s="28" t="str">
        <x:v>requirement</x:v>
      </x:c>
      <x:c r="E22" s="28" t="str">
        <x:v>OBJ0007</x:v>
      </x:c>
      <x:c r="F22" s="28" t="str"/>
      <x:c r="G22" s="28" t="str">
        <x:v>BLOCK vague when</x:v>
      </x:c>
      <x:c r="H22" s="28" t="str">
        <x:v>When</x:v>
      </x:c>
    </x:row>
    <x:row r="23">
      <x:c r="A23" s="28" t="n">
        <x:v>4</x:v>
      </x:c>
      <x:c r="B23" s="28" t="str">
        <x:v>WRITE_THEN</x:v>
      </x:c>
      <x:c r="C23" s="28" t="str">
        <x:v>declare observable result</x:v>
      </x:c>
      <x:c r="D23" s="28" t="str">
        <x:v>requirement</x:v>
      </x:c>
      <x:c r="E23" s="28" t="str">
        <x:v>OBJ0007</x:v>
      </x:c>
      <x:c r="F23" s="28" t="str"/>
      <x:c r="G23" s="28" t="str">
        <x:v>BLOCK vague then</x:v>
      </x:c>
      <x:c r="H23" s="28" t="str">
        <x:v>Then</x:v>
      </x:c>
    </x:row>
    <x:row r="24">
      <x:c r="A24" s="28" t="n">
        <x:v>5</x:v>
      </x:c>
      <x:c r="B24" s="28" t="str">
        <x:v>WRITE_EXPECTED</x:v>
      </x:c>
      <x:c r="C24" s="28" t="str">
        <x:v>declare explicit pass condition</x:v>
      </x:c>
      <x:c r="D24" s="28" t="str">
        <x:v>requirement</x:v>
      </x:c>
      <x:c r="E24" s="28" t="str">
        <x:v>OBJ0007</x:v>
      </x:c>
      <x:c r="F24" s="28" t="str"/>
      <x:c r="G24" s="28" t="str">
        <x:v>BLOCK vague expectation</x:v>
      </x:c>
      <x:c r="H24" s="28" t="str">
        <x:v>Expected</x:v>
      </x:c>
    </x:row>
    <x:row r="25">
      <x:c r="A25" s="28" t="n">
        <x:v>6</x:v>
      </x:c>
      <x:c r="B25" s="28" t="str">
        <x:v>SET_BLOCKING</x:v>
      </x:c>
      <x:c r="C25" s="28" t="str">
        <x:v>semantic tests Blocks_Implementation=YES</x:v>
      </x:c>
      <x:c r="D25" s="28" t="str">
        <x:v>OBJ0007</x:v>
      </x:c>
      <x:c r="E25" s="28" t="str">
        <x:v>OBJ0007</x:v>
      </x:c>
      <x:c r="F25" s="28" t="str"/>
      <x:c r="G25" s="28" t="str"/>
      <x:c r="H25" s="28" t="str">
        <x:v>gate metadata</x:v>
      </x:c>
    </x:row>
  </x:sheetData>
  <x:mergeCells>
    <x:mergeCell ref="A1:H1"/>
    <x:mergeCell ref="A8:H8"/>
    <x:mergeCell ref="A14:H14"/>
    <x:mergeCell ref="A18:H1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F007 ValidateTranslation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F007</x:v>
      </x:c>
    </x:row>
    <x:row r="5">
      <x:c r="A5" s="27" t="str">
        <x:v>Function_Name</x:v>
      </x:c>
      <x:c r="B5" s="28" t="str">
        <x:v>ValidateTranslation</x:v>
      </x:c>
    </x:row>
    <x:row r="6">
      <x:c r="A6" s="27" t="str">
        <x:v>Purpose</x:v>
      </x:c>
      <x:c r="B6" s="28" t="str">
        <x:v>Resolve references and expose ambiguity rather than guessing.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PAR0018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translated</x:v>
      </x:c>
    </x:row>
    <x:row r="11">
      <x:c r="A11" t="str">
        <x:v>PAR0019</x:v>
      </x:c>
      <x:c r="B11" t="str">
        <x:v>object_registry</x:v>
      </x:c>
      <x:c r="C11" t="str">
        <x:v>OBJ0003</x:v>
      </x:c>
      <x:c r="D11" t="str">
        <x:v>table</x:v>
      </x:c>
      <x:c r="E11" t="str">
        <x:v>ref</x:v>
      </x:c>
      <x:c r="F11" t="str">
        <x:v>typed</x:v>
      </x:c>
    </x:row>
    <x:row r="12">
      <x:c r="A12" t="str">
        <x:v>PAR0020</x:v>
      </x:c>
      <x:c r="B12" t="str">
        <x:v>parameter_registry</x:v>
      </x:c>
      <x:c r="C12" t="str">
        <x:v>OBJ0004</x:v>
      </x:c>
      <x:c r="D12" t="str">
        <x:v>table</x:v>
      </x:c>
      <x:c r="E12" t="str">
        <x:v>ref</x:v>
      </x:c>
      <x:c r="F12" t="str">
        <x:v>bound</x:v>
      </x:c>
    </x:row>
    <x:row r="13">
      <x:c r="A13" t="str">
        <x:v>PAR0021</x:v>
      </x:c>
      <x:c r="B13" t="str">
        <x:v>transition_registry</x:v>
      </x:c>
      <x:c r="C13" t="str">
        <x:v>OBJ0006</x:v>
      </x:c>
      <x:c r="D13" t="str">
        <x:v>table</x:v>
      </x:c>
      <x:c r="E13" t="str">
        <x:v>ref</x:v>
      </x:c>
      <x:c r="F13" t="str">
        <x:v>declared</x:v>
      </x:c>
    </x:row>
    <x:row r="14">
      <x:c r="A14" t="str">
        <x:v>PAR0022</x:v>
      </x:c>
      <x:c r="B14" t="str">
        <x:v>qa_registry</x:v>
      </x:c>
      <x:c r="C14" t="str">
        <x:v>OBJ0007</x:v>
      </x:c>
      <x:c r="D14" t="str">
        <x:v>table</x:v>
      </x:c>
      <x:c r="E14" t="str">
        <x:v>ref</x:v>
      </x:c>
      <x:c r="F14" t="str">
        <x:v>declared</x:v>
      </x:c>
    </x:row>
    <x:row r="16">
      <x:c r="A16" s="35" t="str">
        <x:v>Outputs</x:v>
      </x:c>
      <x:c r="B16" s="35"/>
      <x:c r="C16" s="35"/>
      <x:c r="D16" s="35"/>
      <x:c r="E16" s="35"/>
      <x:c r="F16" s="35"/>
      <x:c r="G16" s="35"/>
      <x:c r="H16" s="35"/>
    </x:row>
    <x:row r="17">
      <x:c r="A17" s="14" t="str">
        <x:v>Param_ID</x:v>
      </x:c>
      <x:c r="B17" s="14" t="str">
        <x:v>Name</x:v>
      </x:c>
      <x:c r="C17" s="14" t="str">
        <x:v>Object_ID</x:v>
      </x:c>
      <x:c r="D17" s="14" t="str">
        <x:v>Class</x:v>
      </x:c>
      <x:c r="E17" s="14" t="str">
        <x:v>Pass_Mode</x:v>
      </x:c>
      <x:c r="F17" s="14" t="str">
        <x:v>Validation</x:v>
      </x:c>
    </x:row>
    <x:row r="18">
      <x:c r="A18" t="str">
        <x:v>PAR0023</x:v>
      </x:c>
      <x:c r="B18" t="str">
        <x:v>ambiguity_registry</x:v>
      </x:c>
      <x:c r="C18" t="str">
        <x:v>OBJ0008</x:v>
      </x:c>
      <x:c r="D18" t="str">
        <x:v>table</x:v>
      </x:c>
      <x:c r="E18" t="str">
        <x:v>ref</x:v>
      </x:c>
      <x:c r="F18" t="str">
        <x:v>issues</x:v>
      </x:c>
    </x:row>
    <x:row r="19">
      <x:c r="A19" t="str">
        <x:v>PAR0024</x:v>
      </x:c>
      <x:c r="B19" t="str">
        <x:v>trace_map</x:v>
      </x:c>
      <x:c r="C19" t="str">
        <x:v>OBJ0009</x:v>
      </x:c>
      <x:c r="D19" t="str">
        <x:v>table</x:v>
      </x:c>
      <x:c r="E19" t="str">
        <x:v>ref</x:v>
      </x:c>
      <x:c r="F19" t="str">
        <x:v>traceability</x:v>
      </x:c>
    </x:row>
    <x:row r="21">
      <x:c r="A21" s="35" t="str">
        <x:v>Algorithm / Pseudocode</x:v>
      </x:c>
      <x:c r="B21" s="35"/>
      <x:c r="C21" s="35"/>
      <x:c r="D21" s="35"/>
      <x:c r="E21" s="35"/>
      <x:c r="F21" s="35"/>
      <x:c r="G21" s="35"/>
      <x:c r="H21" s="35"/>
    </x:row>
    <x:row r="22">
      <x:c r="A22" s="26" t="str">
        <x:v>Step</x:v>
      </x:c>
      <x:c r="B22" s="26" t="str">
        <x:v>Operation</x:v>
      </x:c>
      <x:c r="C22" s="26" t="str">
        <x:v>Action / Condition</x:v>
      </x:c>
      <x:c r="D22" s="26" t="str">
        <x:v>Reads</x:v>
      </x:c>
      <x:c r="E22" s="26" t="str">
        <x:v>Writes</x:v>
      </x:c>
      <x:c r="F22" s="26" t="str">
        <x:v>Guard</x:v>
      </x:c>
      <x:c r="G22" s="26" t="str">
        <x:v>Failure</x:v>
      </x:c>
      <x:c r="H22" s="26" t="str">
        <x:v>Evidence</x:v>
      </x:c>
    </x:row>
    <x:row r="23">
      <x:c r="A23" s="28" t="n">
        <x:v>1</x:v>
      </x:c>
      <x:c r="B23" s="28" t="str">
        <x:v>RESOLVE_IDS</x:v>
      </x:c>
      <x:c r="C23" s="28" t="str">
        <x:v>verify every referenced ID exists</x:v>
      </x:c>
      <x:c r="D23" s="28" t="str">
        <x:v>registries</x:v>
      </x:c>
      <x:c r="E23" s="28" t="str"/>
      <x:c r="F23" s="28" t="str"/>
      <x:c r="G23" s="28" t="str">
        <x:v>create OPEN ambiguity</x:v>
      </x:c>
      <x:c r="H23" s="28" t="str">
        <x:v>reference integrity</x:v>
      </x:c>
    </x:row>
    <x:row r="24">
      <x:c r="A24" s="28" t="n">
        <x:v>2</x:v>
      </x:c>
      <x:c r="B24" s="28" t="str">
        <x:v>CHECK_TYPES</x:v>
      </x:c>
      <x:c r="C24" s="28" t="str">
        <x:v>verify parameter expectation matches object type</x:v>
      </x:c>
      <x:c r="D24" s="28" t="str">
        <x:v>OBJ0003,OBJ0004</x:v>
      </x:c>
      <x:c r="E24" s="28" t="str"/>
      <x:c r="F24" s="28" t="str"/>
      <x:c r="G24" s="28" t="str">
        <x:v>create OPEN ambiguity</x:v>
      </x:c>
      <x:c r="H24" s="28" t="str">
        <x:v>type integrity</x:v>
      </x:c>
    </x:row>
    <x:row r="25">
      <x:c r="A25" s="28" t="n">
        <x:v>3</x:v>
      </x:c>
      <x:c r="B25" s="28" t="str">
        <x:v>CHECK_SCOPE</x:v>
      </x:c>
      <x:c r="C25" s="28" t="str">
        <x:v>verify transition scope matches intended level</x:v>
      </x:c>
      <x:c r="D25" s="28" t="str">
        <x:v>OBJ0002,OBJ0006</x:v>
      </x:c>
      <x:c r="E25" s="28" t="str"/>
      <x:c r="F25" s="28" t="str"/>
      <x:c r="G25" s="28" t="str">
        <x:v>create OPEN ambiguity</x:v>
      </x:c>
      <x:c r="H25" s="28" t="str">
        <x:v>scope integrity</x:v>
      </x:c>
    </x:row>
    <x:row r="26">
      <x:c r="A26" s="28" t="n">
        <x:v>4</x:v>
      </x:c>
      <x:c r="B26" s="28" t="str">
        <x:v>CHECK_QA</x:v>
      </x:c>
      <x:c r="C26" s="28" t="str">
        <x:v>verify committed behavior has blocking test</x:v>
      </x:c>
      <x:c r="D26" s="28" t="str">
        <x:v>OBJ0002,OBJ0007</x:v>
      </x:c>
      <x:c r="E26" s="28" t="str"/>
      <x:c r="F26" s="28" t="str"/>
      <x:c r="G26" s="28" t="str">
        <x:v>create OPEN ambiguity</x:v>
      </x:c>
      <x:c r="H26" s="28" t="str">
        <x:v>QA coverage</x:v>
      </x:c>
    </x:row>
    <x:row r="27">
      <x:c r="A27" s="28" t="n">
        <x:v>5</x:v>
      </x:c>
      <x:c r="B27" s="28" t="str">
        <x:v>TRACE</x:v>
      </x:c>
      <x:c r="C27" s="28" t="str">
        <x:v>create Intent→Function→Param/Object→Transition→Test links</x:v>
      </x:c>
      <x:c r="D27" s="28" t="str">
        <x:v>all registries</x:v>
      </x:c>
      <x:c r="E27" s="28" t="str">
        <x:v>OBJ0009</x:v>
      </x:c>
      <x:c r="F27" s="28" t="str"/>
      <x:c r="G27" s="28" t="str">
        <x:v>BLOCK broken link</x:v>
      </x:c>
      <x:c r="H27" s="28" t="str">
        <x:v>TraceMap</x:v>
      </x:c>
    </x:row>
    <x:row r="28">
      <x:c r="A28" s="28" t="n">
        <x:v>6</x:v>
      </x:c>
      <x:c r="B28" s="28" t="str">
        <x:v>GATE</x:v>
      </x:c>
      <x:c r="C28" s="28" t="str">
        <x:v>OPEN ambiguity count must be zero</x:v>
      </x:c>
      <x:c r="D28" s="28" t="str">
        <x:v>OBJ0008</x:v>
      </x:c>
      <x:c r="E28" s="28" t="str">
        <x:v>OBJ0013</x:v>
      </x:c>
      <x:c r="F28" s="28" t="str">
        <x:v>zero OPEN</x:v>
      </x:c>
      <x:c r="G28" s="28" t="str">
        <x:v>BLOCK</x:v>
      </x:c>
      <x:c r="H28" s="28" t="str">
        <x:v>gate state</x:v>
      </x:c>
    </x:row>
  </x:sheetData>
  <x:mergeCells>
    <x:mergeCell ref="A1:H1"/>
    <x:mergeCell ref="A8:H8"/>
    <x:mergeCell ref="A16:H16"/>
    <x:mergeCell ref="A21:H2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F008 HumanCommit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F008</x:v>
      </x:c>
    </x:row>
    <x:row r="5">
      <x:c r="A5" s="27" t="str">
        <x:v>Function_Name</x:v>
      </x:c>
      <x:c r="B5" s="28" t="str">
        <x:v>HumanCommit</x:v>
      </x:c>
    </x:row>
    <x:row r="6">
      <x:c r="A6" s="27" t="str">
        <x:v>Purpose</x:v>
      </x:c>
      <x:c r="B6" s="28" t="str">
        <x:v>Commit formal translation only after explicit human review and zero blocking ambiguity.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PAR0025</x:v>
      </x:c>
      <x:c r="B10" t="str">
        <x:v>intent_registry</x:v>
      </x:c>
      <x:c r="C10" t="str">
        <x:v>OBJ0002</x:v>
      </x:c>
      <x:c r="D10" t="str">
        <x:v>table</x:v>
      </x:c>
      <x:c r="E10" t="str">
        <x:v>ref</x:v>
      </x:c>
      <x:c r="F10" t="str">
        <x:v>reviewed</x:v>
      </x:c>
    </x:row>
    <x:row r="11">
      <x:c r="A11" t="str">
        <x:v>PAR0026</x:v>
      </x:c>
      <x:c r="B11" t="str">
        <x:v>ambiguity_registry</x:v>
      </x:c>
      <x:c r="C11" t="str">
        <x:v>OBJ0008</x:v>
      </x:c>
      <x:c r="D11" t="str">
        <x:v>table</x:v>
      </x:c>
      <x:c r="E11" t="str">
        <x:v>ref</x:v>
      </x:c>
      <x:c r="F11" t="str">
        <x:v>zero OPEN</x:v>
      </x:c>
    </x:row>
    <x:row r="12">
      <x:c r="A12" t="str">
        <x:v>PAR0027</x:v>
      </x:c>
      <x:c r="B12" t="str">
        <x:v>qa_registry</x:v>
      </x:c>
      <x:c r="C12" t="str">
        <x:v>OBJ0007</x:v>
      </x:c>
      <x:c r="D12" t="str">
        <x:v>table</x:v>
      </x:c>
      <x:c r="E12" t="str">
        <x:v>ref</x:v>
      </x:c>
      <x:c r="F12" t="str">
        <x:v>approved</x:v>
      </x:c>
    </x:row>
    <x:row r="14">
      <x:c r="A14" s="35" t="str">
        <x:v>Outputs</x:v>
      </x:c>
      <x:c r="B14" s="35"/>
      <x:c r="C14" s="35"/>
      <x:c r="D14" s="35"/>
      <x:c r="E14" s="35"/>
      <x:c r="F14" s="35"/>
      <x:c r="G14" s="35"/>
      <x:c r="H14" s="35"/>
    </x:row>
    <x:row r="15">
      <x:c r="A15" s="14" t="str">
        <x:v>Param_ID</x:v>
      </x:c>
      <x:c r="B15" s="14" t="str">
        <x:v>Name</x:v>
      </x:c>
      <x:c r="C15" s="14" t="str">
        <x:v>Object_ID</x:v>
      </x:c>
      <x:c r="D15" s="14" t="str">
        <x:v>Class</x:v>
      </x:c>
      <x:c r="E15" s="14" t="str">
        <x:v>Pass_Mode</x:v>
      </x:c>
      <x:c r="F15" s="14" t="str">
        <x:v>Validation</x:v>
      </x:c>
    </x:row>
    <x:row r="16">
      <x:c r="A16" t="str">
        <x:v>PAR0028</x:v>
      </x:c>
      <x:c r="B16" t="str">
        <x:v>committed_spec</x:v>
      </x:c>
      <x:c r="C16" t="str">
        <x:v>OBJ0010</x:v>
      </x:c>
      <x:c r="D16" t="str">
        <x:v>record</x:v>
      </x:c>
      <x:c r="E16" t="str">
        <x:v>ref</x:v>
      </x:c>
      <x:c r="F16" t="str">
        <x:v>snapshot</x:v>
      </x:c>
    </x:row>
    <x:row r="18">
      <x:c r="A18" s="35" t="str">
        <x:v>Algorithm / Pseudocode</x:v>
      </x:c>
      <x:c r="B18" s="35"/>
      <x:c r="C18" s="35"/>
      <x:c r="D18" s="35"/>
      <x:c r="E18" s="35"/>
      <x:c r="F18" s="35"/>
      <x:c r="G18" s="35"/>
      <x:c r="H18" s="35"/>
    </x:row>
    <x:row r="19">
      <x:c r="A19" s="26" t="str">
        <x:v>Step</x:v>
      </x:c>
      <x:c r="B19" s="26" t="str">
        <x:v>Operation</x:v>
      </x:c>
      <x:c r="C19" s="26" t="str">
        <x:v>Action / Condition</x:v>
      </x:c>
      <x:c r="D19" s="26" t="str">
        <x:v>Reads</x:v>
      </x:c>
      <x:c r="E19" s="26" t="str">
        <x:v>Writes</x:v>
      </x:c>
      <x:c r="F19" s="26" t="str">
        <x:v>Guard</x:v>
      </x:c>
      <x:c r="G19" s="26" t="str">
        <x:v>Failure</x:v>
      </x:c>
      <x:c r="H19" s="26" t="str">
        <x:v>Evidence</x:v>
      </x:c>
    </x:row>
    <x:row r="20">
      <x:c r="A20" s="28" t="n">
        <x:v>1</x:v>
      </x:c>
      <x:c r="B20" s="28" t="str">
        <x:v>REQUIRE</x:v>
      </x:c>
      <x:c r="C20" s="28" t="str">
        <x:v>all relevant Intent_ID Human_Approved=YES</x:v>
      </x:c>
      <x:c r="D20" s="28" t="str">
        <x:v>OBJ0002</x:v>
      </x:c>
      <x:c r="E20" s="28" t="str"/>
      <x:c r="F20" s="28" t="str">
        <x:v>all YES</x:v>
      </x:c>
      <x:c r="G20" s="28" t="str">
        <x:v>BLOCK</x:v>
      </x:c>
      <x:c r="H20" s="28" t="str">
        <x:v>approval check</x:v>
      </x:c>
    </x:row>
    <x:row r="21">
      <x:c r="A21" s="28" t="n">
        <x:v>2</x:v>
      </x:c>
      <x:c r="B21" s="28" t="str">
        <x:v>REQUIRE</x:v>
      </x:c>
      <x:c r="C21" s="28" t="str">
        <x:v>blocking OPEN ambiguity count=0</x:v>
      </x:c>
      <x:c r="D21" s="28" t="str">
        <x:v>OBJ0008</x:v>
      </x:c>
      <x:c r="E21" s="28" t="str"/>
      <x:c r="F21" s="28" t="str">
        <x:v>zero</x:v>
      </x:c>
      <x:c r="G21" s="28" t="str">
        <x:v>BLOCK</x:v>
      </x:c>
      <x:c r="H21" s="28" t="str">
        <x:v>ambiguity check</x:v>
      </x:c>
    </x:row>
    <x:row r="22">
      <x:c r="A22" s="28" t="n">
        <x:v>3</x:v>
      </x:c>
      <x:c r="B22" s="28" t="str">
        <x:v>REQUIRE</x:v>
      </x:c>
      <x:c r="C22" s="28" t="str">
        <x:v>blocking QA human-approved</x:v>
      </x:c>
      <x:c r="D22" s="28" t="str">
        <x:v>OBJ0007</x:v>
      </x:c>
      <x:c r="E22" s="28" t="str"/>
      <x:c r="F22" s="28" t="str">
        <x:v>all YES</x:v>
      </x:c>
      <x:c r="G22" s="28" t="str">
        <x:v>BLOCK</x:v>
      </x:c>
      <x:c r="H22" s="28" t="str">
        <x:v>QA check</x:v>
      </x:c>
    </x:row>
    <x:row r="23">
      <x:c r="A23" s="28" t="n">
        <x:v>4</x:v>
      </x:c>
      <x:c r="B23" s="28" t="str">
        <x:v>SNAPSHOT</x:v>
      </x:c>
      <x:c r="C23" s="28" t="str">
        <x:v>freeze controlling registries/version metadata</x:v>
      </x:c>
      <x:c r="D23" s="28" t="str">
        <x:v>OBJ0002-OBJ0009</x:v>
      </x:c>
      <x:c r="E23" s="28" t="str">
        <x:v>OBJ0010</x:v>
      </x:c>
      <x:c r="F23" s="28" t="str">
        <x:v>trace complete</x:v>
      </x:c>
      <x:c r="G23" s="28" t="str">
        <x:v>BLOCK incomplete trace</x:v>
      </x:c>
      <x:c r="H23" s="28" t="str">
        <x:v>CommittedSpec</x:v>
      </x:c>
    </x:row>
    <x:row r="24">
      <x:c r="A24" s="28" t="n">
        <x:v>5</x:v>
      </x:c>
      <x:c r="B24" s="28" t="str">
        <x:v>SET_STATE</x:v>
      </x:c>
      <x:c r="C24" s="28" t="str">
        <x:v>SPEC_COMMITTED</x:v>
      </x:c>
      <x:c r="D24" s="28" t="str">
        <x:v>OBJ0010</x:v>
      </x:c>
      <x:c r="E24" s="28" t="str">
        <x:v>OBJ0010</x:v>
      </x:c>
      <x:c r="F24" s="28" t="str"/>
      <x:c r="G24" s="28" t="str"/>
      <x:c r="H24" s="28" t="str">
        <x:v>state</x:v>
      </x:c>
    </x:row>
  </x:sheetData>
  <x:mergeCells>
    <x:mergeCell ref="A1:H1"/>
    <x:mergeCell ref="A8:H8"/>
    <x:mergeCell ref="A14:H14"/>
    <x:mergeCell ref="A18:H1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F009 EmitImplementationSpec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F009</x:v>
      </x:c>
    </x:row>
    <x:row r="5">
      <x:c r="A5" s="27" t="str">
        <x:v>Function_Name</x:v>
      </x:c>
      <x:c r="B5" s="28" t="str">
        <x:v>EmitImplementationSpec</x:v>
      </x:c>
    </x:row>
    <x:row r="6">
      <x:c r="A6" s="27" t="str">
        <x:v>Purpose</x:v>
      </x:c>
      <x:c r="B6" s="28" t="str">
        <x:v>Generate implementation instructions only from committed formal records.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PAR0029</x:v>
      </x:c>
      <x:c r="B10" t="str">
        <x:v>committed_spec</x:v>
      </x:c>
      <x:c r="C10" t="str">
        <x:v>OBJ0010</x:v>
      </x:c>
      <x:c r="D10" t="str">
        <x:v>record</x:v>
      </x:c>
      <x:c r="E10" t="str">
        <x:v>ref</x:v>
      </x:c>
      <x:c r="F10" t="str">
        <x:v>gate open</x:v>
      </x:c>
    </x:row>
    <x:row r="12">
      <x:c r="A12" s="35" t="str">
        <x:v>Outputs</x:v>
      </x:c>
      <x:c r="B12" s="35"/>
      <x:c r="C12" s="35"/>
      <x:c r="D12" s="35"/>
      <x:c r="E12" s="35"/>
      <x:c r="F12" s="35"/>
      <x:c r="G12" s="35"/>
      <x:c r="H12" s="35"/>
    </x:row>
    <x:row r="13">
      <x:c r="A13" s="14" t="str">
        <x:v>Param_ID</x:v>
      </x:c>
      <x:c r="B13" s="14" t="str">
        <x:v>Name</x:v>
      </x:c>
      <x:c r="C13" s="14" t="str">
        <x:v>Object_ID</x:v>
      </x:c>
      <x:c r="D13" s="14" t="str">
        <x:v>Class</x:v>
      </x:c>
      <x:c r="E13" s="14" t="str">
        <x:v>Pass_Mode</x:v>
      </x:c>
      <x:c r="F13" s="14" t="str">
        <x:v>Validation</x:v>
      </x:c>
    </x:row>
    <x:row r="14">
      <x:c r="A14" t="str">
        <x:v>PAR0030</x:v>
      </x:c>
      <x:c r="B14" t="str">
        <x:v>implementation_spec</x:v>
      </x:c>
      <x:c r="C14" t="str">
        <x:v>OBJ0011</x:v>
      </x:c>
      <x:c r="D14" t="str">
        <x:v>record</x:v>
      </x:c>
      <x:c r="E14" t="str">
        <x:v>ref</x:v>
      </x:c>
      <x:c r="F14" t="str">
        <x:v>implementation-ready</x:v>
      </x:c>
    </x:row>
    <x:row r="16">
      <x:c r="A16" s="35" t="str">
        <x:v>Algorithm / Pseudocode</x:v>
      </x:c>
      <x:c r="B16" s="35"/>
      <x:c r="C16" s="35"/>
      <x:c r="D16" s="35"/>
      <x:c r="E16" s="35"/>
      <x:c r="F16" s="35"/>
      <x:c r="G16" s="35"/>
      <x:c r="H16" s="35"/>
    </x:row>
    <x:row r="17">
      <x:c r="A17" s="26" t="str">
        <x:v>Step</x:v>
      </x:c>
      <x:c r="B17" s="26" t="str">
        <x:v>Operation</x:v>
      </x:c>
      <x:c r="C17" s="26" t="str">
        <x:v>Action / Condition</x:v>
      </x:c>
      <x:c r="D17" s="26" t="str">
        <x:v>Reads</x:v>
      </x:c>
      <x:c r="E17" s="26" t="str">
        <x:v>Writes</x:v>
      </x:c>
      <x:c r="F17" s="26" t="str">
        <x:v>Guard</x:v>
      </x:c>
      <x:c r="G17" s="26" t="str">
        <x:v>Failure</x:v>
      </x:c>
      <x:c r="H17" s="26" t="str">
        <x:v>Evidence</x:v>
      </x:c>
    </x:row>
    <x:row r="18">
      <x:c r="A18" s="28" t="n">
        <x:v>1</x:v>
      </x:c>
      <x:c r="B18" s="28" t="str">
        <x:v>REQUIRE</x:v>
      </x:c>
      <x:c r="C18" s="28" t="str">
        <x:v>CommittedSpec exists + approved</x:v>
      </x:c>
      <x:c r="D18" s="28" t="str">
        <x:v>OBJ0010</x:v>
      </x:c>
      <x:c r="E18" s="28" t="str"/>
      <x:c r="F18" s="28" t="str">
        <x:v>approved</x:v>
      </x:c>
      <x:c r="G18" s="28" t="str">
        <x:v>BLOCK</x:v>
      </x:c>
      <x:c r="H18" s="28" t="str">
        <x:v>authority check</x:v>
      </x:c>
    </x:row>
    <x:row r="19">
      <x:c r="A19" s="28" t="n">
        <x:v>2</x:v>
      </x:c>
      <x:c r="B19" s="28" t="str">
        <x:v>LOAD</x:v>
      </x:c>
      <x:c r="C19" s="28" t="str">
        <x:v>read only committed formal records</x:v>
      </x:c>
      <x:c r="D19" s="28" t="str">
        <x:v>OBJ0010</x:v>
      </x:c>
      <x:c r="E19" s="28" t="str"/>
      <x:c r="F19" s="28" t="str"/>
      <x:c r="G19" s="28" t="str">
        <x:v>BLOCK uncommitted dependency</x:v>
      </x:c>
      <x:c r="H19" s="28" t="str">
        <x:v>source set</x:v>
      </x:c>
    </x:row>
    <x:row r="20">
      <x:c r="A20" s="28" t="n">
        <x:v>3</x:v>
      </x:c>
      <x:c r="B20" s="28" t="str">
        <x:v>EMIT</x:v>
      </x:c>
      <x:c r="C20" s="28" t="str">
        <x:v>produce implementation units with exact I/O/state/tests</x:v>
      </x:c>
      <x:c r="D20" s="28" t="str">
        <x:v>OBJ0010</x:v>
      </x:c>
      <x:c r="E20" s="28" t="str">
        <x:v>OBJ0011</x:v>
      </x:c>
      <x:c r="F20" s="28" t="str"/>
      <x:c r="G20" s="28" t="str">
        <x:v>BLOCK unresolved reference</x:v>
      </x:c>
      <x:c r="H20" s="28" t="str">
        <x:v>ImplementationSpec</x:v>
      </x:c>
    </x:row>
    <x:row r="21">
      <x:c r="A21" s="28" t="n">
        <x:v>4</x:v>
      </x:c>
      <x:c r="B21" s="28" t="str">
        <x:v>PROHIBIT</x:v>
      </x:c>
      <x:c r="C21" s="28" t="str">
        <x:v>do not let prose/inherited code alter committed semantics</x:v>
      </x:c>
      <x:c r="D21" s="28" t="str">
        <x:v>OBJ0001</x:v>
      </x:c>
      <x:c r="E21" s="28" t="str"/>
      <x:c r="F21" s="28" t="str">
        <x:v>unless separately traced/recommitted</x:v>
      </x:c>
      <x:c r="G21" s="28" t="str">
        <x:v>BLOCK semantic override</x:v>
      </x:c>
      <x:c r="H21" s="28" t="str">
        <x:v>governance evidence</x:v>
      </x:c>
    </x:row>
    <x:row r="22">
      <x:c r="A22" s="28" t="n">
        <x:v>5</x:v>
      </x:c>
      <x:c r="B22" s="28" t="str">
        <x:v>SET_STATE</x:v>
      </x:c>
      <x:c r="C22" s="28" t="str">
        <x:v>IMPLEMENTATION_AUTHORIZED</x:v>
      </x:c>
      <x:c r="D22" s="28" t="str">
        <x:v>OBJ0011</x:v>
      </x:c>
      <x:c r="E22" s="28" t="str">
        <x:v>OBJ0011</x:v>
      </x:c>
      <x:c r="F22" s="28" t="str"/>
      <x:c r="G22" s="28" t="str"/>
      <x:c r="H22" s="28" t="str">
        <x:v>state</x:v>
      </x:c>
    </x:row>
  </x:sheetData>
  <x:mergeCells>
    <x:mergeCell ref="A1:H1"/>
    <x:mergeCell ref="A8:H8"/>
    <x:mergeCell ref="A12:H12"/>
    <x:mergeCell ref="A16:H1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60" hidden="0" customWidth="1"/>
    <x:col min="4" max="4" width="28" hidden="0" customWidth="1"/>
    <x:col min="5" max="5" width="28" hidden="0" customWidth="1"/>
    <x:col min="6" max="6" width="38" hidden="0" customWidth="1"/>
    <x:col min="7" max="7" width="38" hidden="0" customWidth="1"/>
    <x:col min="8" max="8" width="30" hidden="0" customWidth="1"/>
  </x:cols>
  <x:sheetData>
    <x:row r="1" ht="26" customHeight="1">
      <x:c r="A1" s="5" t="str">
        <x:v>F010 VerifyImplementation — Function Page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Field</x:v>
      </x:c>
      <x:c r="B3" s="26" t="str">
        <x:v>Value</x:v>
      </x:c>
    </x:row>
    <x:row r="4">
      <x:c r="A4" s="27" t="str">
        <x:v>Function_ID</x:v>
      </x:c>
      <x:c r="B4" s="28" t="str">
        <x:v>F010</x:v>
      </x:c>
    </x:row>
    <x:row r="5">
      <x:c r="A5" s="27" t="str">
        <x:v>Function_Name</x:v>
      </x:c>
      <x:c r="B5" s="28" t="str">
        <x:v>VerifyImplementation</x:v>
      </x:c>
    </x:row>
    <x:row r="6">
      <x:c r="A6" s="27" t="str">
        <x:v>Purpose</x:v>
      </x:c>
      <x:c r="B6" s="28" t="str">
        <x:v>Compare implementation evidence with committed semantics and block release on mismatch.</x:v>
      </x:c>
    </x:row>
    <x:row r="8">
      <x:c r="A8" s="35" t="str">
        <x:v>Inputs</x:v>
      </x:c>
      <x:c r="B8" s="35"/>
      <x:c r="C8" s="35"/>
      <x:c r="D8" s="35"/>
      <x:c r="E8" s="35"/>
      <x:c r="F8" s="35"/>
      <x:c r="G8" s="35"/>
      <x:c r="H8" s="35"/>
    </x:row>
    <x:row r="9">
      <x:c r="A9" s="14" t="str">
        <x:v>Param_ID</x:v>
      </x:c>
      <x:c r="B9" s="14" t="str">
        <x:v>Name</x:v>
      </x:c>
      <x:c r="C9" s="14" t="str">
        <x:v>Object_ID</x:v>
      </x:c>
      <x:c r="D9" s="14" t="str">
        <x:v>Class</x:v>
      </x:c>
      <x:c r="E9" s="14" t="str">
        <x:v>Pass_Mode</x:v>
      </x:c>
      <x:c r="F9" s="14" t="str">
        <x:v>Validation</x:v>
      </x:c>
    </x:row>
    <x:row r="10">
      <x:c r="A10" t="str">
        <x:v>PAR0031</x:v>
      </x:c>
      <x:c r="B10" t="str">
        <x:v>implementation_spec</x:v>
      </x:c>
      <x:c r="C10" t="str">
        <x:v>OBJ0011</x:v>
      </x:c>
      <x:c r="D10" t="str">
        <x:v>record</x:v>
      </x:c>
      <x:c r="E10" t="str">
        <x:v>ref</x:v>
      </x:c>
      <x:c r="F10" t="str">
        <x:v>expected</x:v>
      </x:c>
    </x:row>
    <x:row r="11">
      <x:c r="A11" t="str">
        <x:v>PAR0032</x:v>
      </x:c>
      <x:c r="B11" t="str">
        <x:v>implementation_evidence</x:v>
      </x:c>
      <x:c r="C11" t="str">
        <x:v>OBJ0012</x:v>
      </x:c>
      <x:c r="D11" t="str">
        <x:v>record</x:v>
      </x:c>
      <x:c r="E11" t="str">
        <x:v>ref</x:v>
      </x:c>
      <x:c r="F11" t="str">
        <x:v>observed</x:v>
      </x:c>
    </x:row>
    <x:row r="13">
      <x:c r="A13" s="35" t="str">
        <x:v>Outputs</x:v>
      </x:c>
      <x:c r="B13" s="35"/>
      <x:c r="C13" s="35"/>
      <x:c r="D13" s="35"/>
      <x:c r="E13" s="35"/>
      <x:c r="F13" s="35"/>
      <x:c r="G13" s="35"/>
      <x:c r="H13" s="35"/>
    </x:row>
    <x:row r="14">
      <x:c r="A14" s="14" t="str">
        <x:v>Param_ID</x:v>
      </x:c>
      <x:c r="B14" s="14" t="str">
        <x:v>Name</x:v>
      </x:c>
      <x:c r="C14" s="14" t="str">
        <x:v>Object_ID</x:v>
      </x:c>
      <x:c r="D14" s="14" t="str">
        <x:v>Class</x:v>
      </x:c>
      <x:c r="E14" s="14" t="str">
        <x:v>Pass_Mode</x:v>
      </x:c>
      <x:c r="F14" s="14" t="str">
        <x:v>Validation</x:v>
      </x:c>
    </x:row>
    <x:row r="15">
      <x:c r="A15" t="str">
        <x:v>PAR0033</x:v>
      </x:c>
      <x:c r="B15" t="str">
        <x:v>release_decision</x:v>
      </x:c>
      <x:c r="C15" t="str">
        <x:v>OBJ0013</x:v>
      </x:c>
      <x:c r="D15" t="str">
        <x:v>scalar</x:v>
      </x:c>
      <x:c r="E15" t="str">
        <x:v>ref</x:v>
      </x:c>
      <x:c r="F15" t="str">
        <x:v>OPEN/BLOCKED</x:v>
      </x:c>
    </x:row>
    <x:row r="17">
      <x:c r="A17" s="35" t="str">
        <x:v>Algorithm / Pseudocode</x:v>
      </x:c>
      <x:c r="B17" s="35"/>
      <x:c r="C17" s="35"/>
      <x:c r="D17" s="35"/>
      <x:c r="E17" s="35"/>
      <x:c r="F17" s="35"/>
      <x:c r="G17" s="35"/>
      <x:c r="H17" s="35"/>
    </x:row>
    <x:row r="18">
      <x:c r="A18" s="26" t="str">
        <x:v>Step</x:v>
      </x:c>
      <x:c r="B18" s="26" t="str">
        <x:v>Operation</x:v>
      </x:c>
      <x:c r="C18" s="26" t="str">
        <x:v>Action / Condition</x:v>
      </x:c>
      <x:c r="D18" s="26" t="str">
        <x:v>Reads</x:v>
      </x:c>
      <x:c r="E18" s="26" t="str">
        <x:v>Writes</x:v>
      </x:c>
      <x:c r="F18" s="26" t="str">
        <x:v>Guard</x:v>
      </x:c>
      <x:c r="G18" s="26" t="str">
        <x:v>Failure</x:v>
      </x:c>
      <x:c r="H18" s="26" t="str">
        <x:v>Evidence</x:v>
      </x:c>
    </x:row>
    <x:row r="19">
      <x:c r="A19" s="28" t="n">
        <x:v>1</x:v>
      </x:c>
      <x:c r="B19" s="28" t="str">
        <x:v>RUN_TESTS</x:v>
      </x:c>
      <x:c r="C19" s="28" t="str">
        <x:v>execute/inspect committed QA tests</x:v>
      </x:c>
      <x:c r="D19" s="28" t="str">
        <x:v>OBJ0007,OBJ0011</x:v>
      </x:c>
      <x:c r="E19" s="28" t="str">
        <x:v>OBJ0012</x:v>
      </x:c>
      <x:c r="F19" s="28" t="str"/>
      <x:c r="G19" s="28" t="str">
        <x:v>BLOCK failing behavior</x:v>
      </x:c>
      <x:c r="H19" s="28" t="str">
        <x:v>evidence</x:v>
      </x:c>
    </x:row>
    <x:row r="20">
      <x:c r="A20" s="28" t="n">
        <x:v>2</x:v>
      </x:c>
      <x:c r="B20" s="28" t="str">
        <x:v>CHECK_TRANSITIONS</x:v>
      </x:c>
      <x:c r="C20" s="28" t="str">
        <x:v>compare observed state changes to registry</x:v>
      </x:c>
      <x:c r="D20" s="28" t="str">
        <x:v>OBJ0006,OBJ0012</x:v>
      </x:c>
      <x:c r="E20" s="28" t="str">
        <x:v>OBJ0012</x:v>
      </x:c>
      <x:c r="F20" s="28" t="str"/>
      <x:c r="G20" s="28" t="str">
        <x:v>BLOCK scope/state mismatch</x:v>
      </x:c>
      <x:c r="H20" s="28" t="str">
        <x:v>transition evidence</x:v>
      </x:c>
    </x:row>
    <x:row r="21">
      <x:c r="A21" s="28" t="n">
        <x:v>3</x:v>
      </x:c>
      <x:c r="B21" s="28" t="str">
        <x:v>CHECK_TRACE</x:v>
      </x:c>
      <x:c r="C21" s="28" t="str">
        <x:v>verify implementation units trace to committed records</x:v>
      </x:c>
      <x:c r="D21" s="28" t="str">
        <x:v>OBJ0009,OBJ0012</x:v>
      </x:c>
      <x:c r="E21" s="28" t="str">
        <x:v>OBJ0012</x:v>
      </x:c>
      <x:c r="F21" s="28" t="str"/>
      <x:c r="G21" s="28" t="str">
        <x:v>BLOCK untraced behavior</x:v>
      </x:c>
      <x:c r="H21" s="28" t="str">
        <x:v>trace evidence</x:v>
      </x:c>
    </x:row>
    <x:row r="22">
      <x:c r="A22" s="28" t="n">
        <x:v>4</x:v>
      </x:c>
      <x:c r="B22" s="28" t="str">
        <x:v>DECIDE</x:v>
      </x:c>
      <x:c r="C22" s="28" t="str">
        <x:v>OPEN only if all blocking checks PASS</x:v>
      </x:c>
      <x:c r="D22" s="28" t="str">
        <x:v>OBJ0012</x:v>
      </x:c>
      <x:c r="E22" s="28" t="str">
        <x:v>OBJ0013</x:v>
      </x:c>
      <x:c r="F22" s="28" t="str">
        <x:v>all PASS</x:v>
      </x:c>
      <x:c r="G22" s="28" t="str">
        <x:v>BLOCK otherwise</x:v>
      </x:c>
      <x:c r="H22" s="28" t="str">
        <x:v>ReleaseDecision</x:v>
      </x:c>
    </x:row>
  </x:sheetData>
  <x:mergeCells>
    <x:mergeCell ref="A1:H1"/>
    <x:mergeCell ref="A8:H8"/>
    <x:mergeCell ref="A13:H13"/>
    <x:mergeCell ref="A17:H17"/>
  </x:mergeCells>
  <x:pageMargins left="0.7" right="0.7" top="0.75" bottom="0.75" header="0.3" footer="0.3"/>
</x:worksheet>
</file>